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A Data" sheetId="1" r:id="rId5"/>
    <sheet state="visible" name="Dashboard &amp; Pivot Table 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<sst xmlns="http://schemas.openxmlformats.org/spreadsheetml/2006/main" count="5179" uniqueCount="1775">
  <si>
    <t>Ticket_ID</t>
  </si>
  <si>
    <t>Department</t>
  </si>
  <si>
    <t>Priority</t>
  </si>
  <si>
    <t>Created_Date_Time</t>
  </si>
  <si>
    <t>Resolved_Date_Time</t>
  </si>
  <si>
    <t>SLA_Hours</t>
  </si>
  <si>
    <t>Status</t>
  </si>
  <si>
    <t>Actual Resolution Time (Hours)</t>
  </si>
  <si>
    <t>SLA_Breach (Breached/ Within SLA)</t>
  </si>
  <si>
    <t xml:space="preserve"> </t>
  </si>
  <si>
    <t>TKT1000</t>
  </si>
  <si>
    <t>Finance</t>
  </si>
  <si>
    <t>Low</t>
  </si>
  <si>
    <t>16-02-2026 01:00</t>
  </si>
  <si>
    <t>Closed</t>
  </si>
  <si>
    <t>TKT1001</t>
  </si>
  <si>
    <t>Procurement</t>
  </si>
  <si>
    <t>TKT1002</t>
  </si>
  <si>
    <t>HR</t>
  </si>
  <si>
    <t>High</t>
  </si>
  <si>
    <t>16-02-2026 11:00</t>
  </si>
  <si>
    <t>17-02-2026 15:00</t>
  </si>
  <si>
    <t>TKT1003</t>
  </si>
  <si>
    <t>Operations</t>
  </si>
  <si>
    <t>TKT1004</t>
  </si>
  <si>
    <t>25-02-2026 07:00</t>
  </si>
  <si>
    <t>28-02-2026 02:00</t>
  </si>
  <si>
    <t>TKT1005</t>
  </si>
  <si>
    <t>19-02-2026 23:00</t>
  </si>
  <si>
    <t>23-02-2026 13:00</t>
  </si>
  <si>
    <t>TKT1006</t>
  </si>
  <si>
    <t>13-02-2026 13:00</t>
  </si>
  <si>
    <t>TKT1007</t>
  </si>
  <si>
    <t>TKT1008</t>
  </si>
  <si>
    <t>IT</t>
  </si>
  <si>
    <t>Medium</t>
  </si>
  <si>
    <t>15-01-2026 10:00</t>
  </si>
  <si>
    <t>TKT1009</t>
  </si>
  <si>
    <t>TKT1010</t>
  </si>
  <si>
    <t>26-01-2026 13:00</t>
  </si>
  <si>
    <t>28-01-2026 04:00</t>
  </si>
  <si>
    <t>TKT1011</t>
  </si>
  <si>
    <t>TKT1012</t>
  </si>
  <si>
    <t>16-03-2026 00:00</t>
  </si>
  <si>
    <t>18-03-2026 05:00</t>
  </si>
  <si>
    <t>TKT1013</t>
  </si>
  <si>
    <t>14-02-2026 19:00</t>
  </si>
  <si>
    <t>17-02-2026 17:00</t>
  </si>
  <si>
    <t>TKT1014</t>
  </si>
  <si>
    <t>TKT1015</t>
  </si>
  <si>
    <t>30-01-2026 15:00</t>
  </si>
  <si>
    <t>31-01-2026 07:00</t>
  </si>
  <si>
    <t>TKT1016</t>
  </si>
  <si>
    <t>14-03-2026 16:00</t>
  </si>
  <si>
    <t>16-03-2026 19:00</t>
  </si>
  <si>
    <t>TKT1017</t>
  </si>
  <si>
    <t>13-01-2026 05:00</t>
  </si>
  <si>
    <t>TKT1018</t>
  </si>
  <si>
    <t>23-01-2026 21:00</t>
  </si>
  <si>
    <t>24-01-2026 18:00</t>
  </si>
  <si>
    <t>TKT1019</t>
  </si>
  <si>
    <t>TKT1020</t>
  </si>
  <si>
    <t>13-01-2026 14:00</t>
  </si>
  <si>
    <t>TKT1021</t>
  </si>
  <si>
    <t>TKT1022</t>
  </si>
  <si>
    <t>TKT1023</t>
  </si>
  <si>
    <t>13-01-2026 09:00</t>
  </si>
  <si>
    <t>15-01-2026 01:00</t>
  </si>
  <si>
    <t>TKT1024</t>
  </si>
  <si>
    <t>14-02-2026 07:00</t>
  </si>
  <si>
    <t>16-02-2026 16:00</t>
  </si>
  <si>
    <t>TKT1025</t>
  </si>
  <si>
    <t>TKT1026</t>
  </si>
  <si>
    <t>TKT1027</t>
  </si>
  <si>
    <t>20-02-2026 20:00</t>
  </si>
  <si>
    <t>TKT1028</t>
  </si>
  <si>
    <t>28-01-2026 15:00</t>
  </si>
  <si>
    <t>TKT1029</t>
  </si>
  <si>
    <t>TKT1030</t>
  </si>
  <si>
    <t>TKT1031</t>
  </si>
  <si>
    <t>22-02-2026 23:00</t>
  </si>
  <si>
    <t>26-02-2026 23:00</t>
  </si>
  <si>
    <t>TKT1032</t>
  </si>
  <si>
    <t>24-03-2026 14:00</t>
  </si>
  <si>
    <t>27-03-2026 23:00</t>
  </si>
  <si>
    <t>TKT1033</t>
  </si>
  <si>
    <t>TKT1034</t>
  </si>
  <si>
    <t>TKT1035</t>
  </si>
  <si>
    <t>TKT1036</t>
  </si>
  <si>
    <t>24-01-2026 21:00</t>
  </si>
  <si>
    <t>28-01-2026 11:00</t>
  </si>
  <si>
    <t>TKT1037</t>
  </si>
  <si>
    <t>TKT1038</t>
  </si>
  <si>
    <t>18-03-2026 00:00</t>
  </si>
  <si>
    <t>18-03-2026 23:00</t>
  </si>
  <si>
    <t>TKT1039</t>
  </si>
  <si>
    <t>27-01-2026 06:00</t>
  </si>
  <si>
    <t>30-01-2026 06:00</t>
  </si>
  <si>
    <t>TKT1040</t>
  </si>
  <si>
    <t>28-02-2026 07:00</t>
  </si>
  <si>
    <t>TKT1041</t>
  </si>
  <si>
    <t>17-02-2026 18:00</t>
  </si>
  <si>
    <t>21-02-2026 18:00</t>
  </si>
  <si>
    <t>TKT1042</t>
  </si>
  <si>
    <t>TKT1043</t>
  </si>
  <si>
    <t>20-03-2026 03:00</t>
  </si>
  <si>
    <t>21-03-2026 08:00</t>
  </si>
  <si>
    <t>TKT1044</t>
  </si>
  <si>
    <t>18-02-2026 20:00</t>
  </si>
  <si>
    <t>22-02-2026 10:00</t>
  </si>
  <si>
    <t>TKT1045</t>
  </si>
  <si>
    <t>23-01-2026 22:00</t>
  </si>
  <si>
    <t>27-01-2026 04:00</t>
  </si>
  <si>
    <t>TKT1046</t>
  </si>
  <si>
    <t>TKT1047</t>
  </si>
  <si>
    <t>22-02-2026 21:00</t>
  </si>
  <si>
    <t>24-02-2026 16:00</t>
  </si>
  <si>
    <t>TKT1048</t>
  </si>
  <si>
    <t>TKT1049</t>
  </si>
  <si>
    <t>18-02-2026 17:00</t>
  </si>
  <si>
    <t>20-02-2026 23:00</t>
  </si>
  <si>
    <t>TKT1050</t>
  </si>
  <si>
    <t>TKT1051</t>
  </si>
  <si>
    <t>19-02-2026 20:00</t>
  </si>
  <si>
    <t>TKT1052</t>
  </si>
  <si>
    <t>23-02-2026 01:00</t>
  </si>
  <si>
    <t>24-02-2026 01:00</t>
  </si>
  <si>
    <t>TKT1053</t>
  </si>
  <si>
    <t>14-02-2026 06:00</t>
  </si>
  <si>
    <t>TKT1054</t>
  </si>
  <si>
    <t>TKT1055</t>
  </si>
  <si>
    <t>19-01-2026 02:00</t>
  </si>
  <si>
    <t>22-01-2026 18:00</t>
  </si>
  <si>
    <t>TKT1056</t>
  </si>
  <si>
    <t>TKT1057</t>
  </si>
  <si>
    <t>TKT1058</t>
  </si>
  <si>
    <t>14-03-2026 13:00</t>
  </si>
  <si>
    <t>18-03-2026 06:00</t>
  </si>
  <si>
    <t>TKT1059</t>
  </si>
  <si>
    <t>20-02-2026 00:00</t>
  </si>
  <si>
    <t>21-02-2026 08:00</t>
  </si>
  <si>
    <t>TKT1060</t>
  </si>
  <si>
    <t>TKT1061</t>
  </si>
  <si>
    <t>16-02-2026 08:00</t>
  </si>
  <si>
    <t>19-02-2026 03:00</t>
  </si>
  <si>
    <t>TKT1062</t>
  </si>
  <si>
    <t>23-02-2026 09:00</t>
  </si>
  <si>
    <t>26-02-2026 13:00</t>
  </si>
  <si>
    <t>TKT1063</t>
  </si>
  <si>
    <t>14-02-2026 21:00</t>
  </si>
  <si>
    <t>17-02-2026 10:00</t>
  </si>
  <si>
    <t>TKT1064</t>
  </si>
  <si>
    <t>TKT1065</t>
  </si>
  <si>
    <t>TKT1066</t>
  </si>
  <si>
    <t>17-03-2026 23:00</t>
  </si>
  <si>
    <t>TKT1067</t>
  </si>
  <si>
    <t>18-02-2026 08:00</t>
  </si>
  <si>
    <t>20-02-2026 11:00</t>
  </si>
  <si>
    <t>TKT1068</t>
  </si>
  <si>
    <t>TKT1069</t>
  </si>
  <si>
    <t>TKT1070</t>
  </si>
  <si>
    <t>28-01-2026 05:00</t>
  </si>
  <si>
    <t>31-01-2026 00:00</t>
  </si>
  <si>
    <t>TKT1071</t>
  </si>
  <si>
    <t>16-03-2026 01:00</t>
  </si>
  <si>
    <t>19-03-2026 05:00</t>
  </si>
  <si>
    <t>TKT1072</t>
  </si>
  <si>
    <t>27-01-2026 02:00</t>
  </si>
  <si>
    <t>27-01-2026 14:00</t>
  </si>
  <si>
    <t>TKT1073</t>
  </si>
  <si>
    <t>TKT1074</t>
  </si>
  <si>
    <t>TKT1075</t>
  </si>
  <si>
    <t>TKT1076</t>
  </si>
  <si>
    <t>17-02-2026 03:00</t>
  </si>
  <si>
    <t>19-02-2026 17:00</t>
  </si>
  <si>
    <t>TKT1077</t>
  </si>
  <si>
    <t>TKT1078</t>
  </si>
  <si>
    <t>TKT1079</t>
  </si>
  <si>
    <t>25-01-2026 15:00</t>
  </si>
  <si>
    <t>TKT1080</t>
  </si>
  <si>
    <t>18-01-2026 02:00</t>
  </si>
  <si>
    <t>20-01-2026 22:00</t>
  </si>
  <si>
    <t>TKT1081</t>
  </si>
  <si>
    <t>22-01-2026 03:00</t>
  </si>
  <si>
    <t>23-01-2026 07:00</t>
  </si>
  <si>
    <t>TKT1082</t>
  </si>
  <si>
    <t>14-02-2026 10:00</t>
  </si>
  <si>
    <t>TKT1083</t>
  </si>
  <si>
    <t>17-02-2026 05:00</t>
  </si>
  <si>
    <t>TKT1084</t>
  </si>
  <si>
    <t>TKT1085</t>
  </si>
  <si>
    <t>14-02-2026 03:00</t>
  </si>
  <si>
    <t>TKT1086</t>
  </si>
  <si>
    <t>TKT1087</t>
  </si>
  <si>
    <t>16-03-2026 07:00</t>
  </si>
  <si>
    <t>19-03-2026 13:00</t>
  </si>
  <si>
    <t>TKT1088</t>
  </si>
  <si>
    <t>15-03-2026 07:00</t>
  </si>
  <si>
    <t>18-03-2026 16:00</t>
  </si>
  <si>
    <t>TKT1089</t>
  </si>
  <si>
    <t>19-03-2026 17:00</t>
  </si>
  <si>
    <t>21-03-2026 20:00</t>
  </si>
  <si>
    <t>TKT1090</t>
  </si>
  <si>
    <t>31-01-2026 17:00</t>
  </si>
  <si>
    <t>TKT1091</t>
  </si>
  <si>
    <t>27-02-2026 11:00</t>
  </si>
  <si>
    <t>TKT1092</t>
  </si>
  <si>
    <t>18-01-2026 21:00</t>
  </si>
  <si>
    <t>19-01-2026 16:00</t>
  </si>
  <si>
    <t>TKT1093</t>
  </si>
  <si>
    <t>15-02-2026 17:00</t>
  </si>
  <si>
    <t>TKT1094</t>
  </si>
  <si>
    <t>14-01-2026 22:00</t>
  </si>
  <si>
    <t>16-01-2026 19:00</t>
  </si>
  <si>
    <t>TKT1095</t>
  </si>
  <si>
    <t>30-01-2026 19:00</t>
  </si>
  <si>
    <t>TKT1096</t>
  </si>
  <si>
    <t>16-01-2026 11:00</t>
  </si>
  <si>
    <t>TKT1097</t>
  </si>
  <si>
    <t>18-03-2026 01:00</t>
  </si>
  <si>
    <t>20-03-2026 22:00</t>
  </si>
  <si>
    <t>TKT1098</t>
  </si>
  <si>
    <t>TKT1099</t>
  </si>
  <si>
    <t>24-02-2026 10:00</t>
  </si>
  <si>
    <t>26-02-2026 11:00</t>
  </si>
  <si>
    <t>TKT1100</t>
  </si>
  <si>
    <t>TKT1101</t>
  </si>
  <si>
    <t>30-01-2026 08:00</t>
  </si>
  <si>
    <t>TKT1102</t>
  </si>
  <si>
    <t>13-02-2026 02:00</t>
  </si>
  <si>
    <t>14-02-2026 00:00</t>
  </si>
  <si>
    <t>TKT1103</t>
  </si>
  <si>
    <t>13-01-2026 07:00</t>
  </si>
  <si>
    <t>TKT1104</t>
  </si>
  <si>
    <t>26-01-2026 12:00</t>
  </si>
  <si>
    <t>29-01-2026 20:00</t>
  </si>
  <si>
    <t>TKT1105</t>
  </si>
  <si>
    <t>TKT1106</t>
  </si>
  <si>
    <t>26-01-2026 11:00</t>
  </si>
  <si>
    <t>28-01-2026 22:00</t>
  </si>
  <si>
    <t>TKT1107</t>
  </si>
  <si>
    <t>17-03-2026 02:00</t>
  </si>
  <si>
    <t>18-03-2026 21:00</t>
  </si>
  <si>
    <t>TKT1108</t>
  </si>
  <si>
    <t>13-03-2026 23:00</t>
  </si>
  <si>
    <t>15-03-2026 03:00</t>
  </si>
  <si>
    <t>TKT1109</t>
  </si>
  <si>
    <t>TKT1110</t>
  </si>
  <si>
    <t>17-02-2026 04:00</t>
  </si>
  <si>
    <t>20-02-2026 02:00</t>
  </si>
  <si>
    <t>TKT1111</t>
  </si>
  <si>
    <t>TKT1112</t>
  </si>
  <si>
    <t>24-01-2026 08:00</t>
  </si>
  <si>
    <t>25-01-2026 01:00</t>
  </si>
  <si>
    <t>TKT1113</t>
  </si>
  <si>
    <t>23-03-2026 12:00</t>
  </si>
  <si>
    <t>26-03-2026 20:00</t>
  </si>
  <si>
    <t>TKT1114</t>
  </si>
  <si>
    <t>20-02-2026 06:00</t>
  </si>
  <si>
    <t>22-02-2026 16:00</t>
  </si>
  <si>
    <t>TKT1115</t>
  </si>
  <si>
    <t>13-02-2026 05:00</t>
  </si>
  <si>
    <t>14-02-2026 16:00</t>
  </si>
  <si>
    <t>TKT1116</t>
  </si>
  <si>
    <t>13-03-2026 16:00</t>
  </si>
  <si>
    <t>16-03-2026 14:00</t>
  </si>
  <si>
    <t>TKT1117</t>
  </si>
  <si>
    <t>14-01-2026 05:00</t>
  </si>
  <si>
    <t>TKT1118</t>
  </si>
  <si>
    <t>TKT1119</t>
  </si>
  <si>
    <t>25-01-2026 10:00</t>
  </si>
  <si>
    <t>28-01-2026 10:00</t>
  </si>
  <si>
    <t>TKT1120</t>
  </si>
  <si>
    <t>20-01-2026 03:00</t>
  </si>
  <si>
    <t>22-01-2026 22:00</t>
  </si>
  <si>
    <t>TKT1121</t>
  </si>
  <si>
    <t>14-01-2026 09:00</t>
  </si>
  <si>
    <t>18-01-2026 04:00</t>
  </si>
  <si>
    <t>TKT1122</t>
  </si>
  <si>
    <t>TKT1123</t>
  </si>
  <si>
    <t>TKT1124</t>
  </si>
  <si>
    <t>22-03-2026 03:00</t>
  </si>
  <si>
    <t>TKT1125</t>
  </si>
  <si>
    <t>19-01-2026 03:00</t>
  </si>
  <si>
    <t>22-01-2026 08:00</t>
  </si>
  <si>
    <t>TKT1126</t>
  </si>
  <si>
    <t>TKT1127</t>
  </si>
  <si>
    <t>30-01-2026 01:00</t>
  </si>
  <si>
    <t>31-01-2026 08:00</t>
  </si>
  <si>
    <t>TKT1128</t>
  </si>
  <si>
    <t>24-03-2026 01:00</t>
  </si>
  <si>
    <t>25-03-2026 18:00</t>
  </si>
  <si>
    <t>TKT1129</t>
  </si>
  <si>
    <t>29-01-2026 04:00</t>
  </si>
  <si>
    <t>TKT1130</t>
  </si>
  <si>
    <t>TKT1131</t>
  </si>
  <si>
    <t>27-02-2026 03:00</t>
  </si>
  <si>
    <t>28-02-2026 19:00</t>
  </si>
  <si>
    <t>TKT1132</t>
  </si>
  <si>
    <t>20-02-2026 09:00</t>
  </si>
  <si>
    <t>23-02-2026 23:00</t>
  </si>
  <si>
    <t>TKT1133</t>
  </si>
  <si>
    <t>15-01-2026 22:00</t>
  </si>
  <si>
    <t>18-01-2026 23:00</t>
  </si>
  <si>
    <t>TKT1134</t>
  </si>
  <si>
    <t>24-01-2026 02:00</t>
  </si>
  <si>
    <t>26-01-2026 06:00</t>
  </si>
  <si>
    <t>TKT1135</t>
  </si>
  <si>
    <t>15-02-2026 06:00</t>
  </si>
  <si>
    <t>18-02-2026 12:00</t>
  </si>
  <si>
    <t>TKT1136</t>
  </si>
  <si>
    <t>18-02-2026 21:00</t>
  </si>
  <si>
    <t>19-02-2026 12:00</t>
  </si>
  <si>
    <t>TKT1137</t>
  </si>
  <si>
    <t>16-01-2026 20:00</t>
  </si>
  <si>
    <t>18-01-2026 19:00</t>
  </si>
  <si>
    <t>TKT1138</t>
  </si>
  <si>
    <t>22-02-2026 22:00</t>
  </si>
  <si>
    <t>26-02-2026 21:00</t>
  </si>
  <si>
    <t>TKT1139</t>
  </si>
  <si>
    <t>13-01-2026 17:00</t>
  </si>
  <si>
    <t>TKT1140</t>
  </si>
  <si>
    <t>19-03-2026 07:00</t>
  </si>
  <si>
    <t>19-03-2026 22:00</t>
  </si>
  <si>
    <t>TKT1141</t>
  </si>
  <si>
    <t>13-01-2026 13:00</t>
  </si>
  <si>
    <t>15-01-2026 23:00</t>
  </si>
  <si>
    <t>TKT1142</t>
  </si>
  <si>
    <t>14-03-2026 11:00</t>
  </si>
  <si>
    <t>TKT1143</t>
  </si>
  <si>
    <t>TKT1144</t>
  </si>
  <si>
    <t>30-01-2026 16:00</t>
  </si>
  <si>
    <t>TKT1145</t>
  </si>
  <si>
    <t>TKT1146</t>
  </si>
  <si>
    <t>TKT1147</t>
  </si>
  <si>
    <t>TKT1148</t>
  </si>
  <si>
    <t>28-01-2026 20:00</t>
  </si>
  <si>
    <t>30-01-2026 20:00</t>
  </si>
  <si>
    <t>TKT1149</t>
  </si>
  <si>
    <t>24-02-2026 15:00</t>
  </si>
  <si>
    <t>TKT1150</t>
  </si>
  <si>
    <t>14-01-2026 19:00</t>
  </si>
  <si>
    <t>16-01-2026 06:00</t>
  </si>
  <si>
    <t>TKT1151</t>
  </si>
  <si>
    <t>24-01-2026 07:00</t>
  </si>
  <si>
    <t>TKT1152</t>
  </si>
  <si>
    <t>TKT1153</t>
  </si>
  <si>
    <t>TKT1154</t>
  </si>
  <si>
    <t>22-03-2026 04:00</t>
  </si>
  <si>
    <t>22-03-2026 20:00</t>
  </si>
  <si>
    <t>TKT1155</t>
  </si>
  <si>
    <t>22-01-2026 23:00</t>
  </si>
  <si>
    <t>23-01-2026 11:00</t>
  </si>
  <si>
    <t>TKT1156</t>
  </si>
  <si>
    <t>TKT1157</t>
  </si>
  <si>
    <t>21-01-2026 23:00</t>
  </si>
  <si>
    <t>24-01-2026 20:00</t>
  </si>
  <si>
    <t>TKT1158</t>
  </si>
  <si>
    <t>18-03-2026 03:00</t>
  </si>
  <si>
    <t>18-03-2026 20:00</t>
  </si>
  <si>
    <t>TKT1159</t>
  </si>
  <si>
    <t>28-02-2026 06:00</t>
  </si>
  <si>
    <t>TKT1160</t>
  </si>
  <si>
    <t>TKT1161</t>
  </si>
  <si>
    <t>26-01-2026 00:00</t>
  </si>
  <si>
    <t>29-01-2026 06:00</t>
  </si>
  <si>
    <t>TKT1162</t>
  </si>
  <si>
    <t>13-02-2026 08:00</t>
  </si>
  <si>
    <t>17-02-2026 01:00</t>
  </si>
  <si>
    <t>TKT1163</t>
  </si>
  <si>
    <t>18-03-2026 14:00</t>
  </si>
  <si>
    <t>21-03-2026 15:00</t>
  </si>
  <si>
    <t>TKT1164</t>
  </si>
  <si>
    <t>TKT1165</t>
  </si>
  <si>
    <t>21-03-2026 00:00</t>
  </si>
  <si>
    <t>TKT1166</t>
  </si>
  <si>
    <t>20-03-2026 21:00</t>
  </si>
  <si>
    <t>24-03-2026 07:00</t>
  </si>
  <si>
    <t>TKT1167</t>
  </si>
  <si>
    <t>TKT1168</t>
  </si>
  <si>
    <t>17-03-2026 10:00</t>
  </si>
  <si>
    <t>21-03-2026 10:00</t>
  </si>
  <si>
    <t>TKT1169</t>
  </si>
  <si>
    <t>22-02-2026 08:00</t>
  </si>
  <si>
    <t>24-02-2026 13:00</t>
  </si>
  <si>
    <t>TKT1170</t>
  </si>
  <si>
    <t>23-03-2026 03:00</t>
  </si>
  <si>
    <t>27-03-2026 03:00</t>
  </si>
  <si>
    <t>TKT1171</t>
  </si>
  <si>
    <t>24-03-2026 02:00</t>
  </si>
  <si>
    <t>TKT1172</t>
  </si>
  <si>
    <t>17-01-2026 10:00</t>
  </si>
  <si>
    <t>19-01-2026 09:00</t>
  </si>
  <si>
    <t>TKT1173</t>
  </si>
  <si>
    <t>TKT1174</t>
  </si>
  <si>
    <t>15-02-2026 09:00</t>
  </si>
  <si>
    <t>17-02-2026 16:00</t>
  </si>
  <si>
    <t>TKT1175</t>
  </si>
  <si>
    <t>15-02-2026 13:00</t>
  </si>
  <si>
    <t>TKT1176</t>
  </si>
  <si>
    <t>26-01-2026 08:00</t>
  </si>
  <si>
    <t>29-01-2026 02:00</t>
  </si>
  <si>
    <t>TKT1177</t>
  </si>
  <si>
    <t>29-01-2026 00:00</t>
  </si>
  <si>
    <t>TKT1178</t>
  </si>
  <si>
    <t>16-02-2026 04:00</t>
  </si>
  <si>
    <t>18-02-2026 10:00</t>
  </si>
  <si>
    <t>TKT1179</t>
  </si>
  <si>
    <t>TKT1180</t>
  </si>
  <si>
    <t>TKT1181</t>
  </si>
  <si>
    <t>20-01-2026 02:00</t>
  </si>
  <si>
    <t>20-01-2026 19:00</t>
  </si>
  <si>
    <t>TKT1182</t>
  </si>
  <si>
    <t>TKT1183</t>
  </si>
  <si>
    <t>24-01-2026 11:00</t>
  </si>
  <si>
    <t>27-01-2026 07:00</t>
  </si>
  <si>
    <t>TKT1184</t>
  </si>
  <si>
    <t>TKT1185</t>
  </si>
  <si>
    <t>23-02-2026 12:00</t>
  </si>
  <si>
    <t>TKT1186</t>
  </si>
  <si>
    <t>21-03-2026 12:00</t>
  </si>
  <si>
    <t>23-03-2026 19:00</t>
  </si>
  <si>
    <t>TKT1187</t>
  </si>
  <si>
    <t>24-02-2026 22:00</t>
  </si>
  <si>
    <t>27-02-2026 12:00</t>
  </si>
  <si>
    <t>TKT1188</t>
  </si>
  <si>
    <t>TKT1189</t>
  </si>
  <si>
    <t>TKT1190</t>
  </si>
  <si>
    <t>TKT1191</t>
  </si>
  <si>
    <t>25-02-2026 04:00</t>
  </si>
  <si>
    <t>28-02-2026 17:00</t>
  </si>
  <si>
    <t>TKT1192</t>
  </si>
  <si>
    <t>21-01-2026 20:00</t>
  </si>
  <si>
    <t>23-01-2026 16:00</t>
  </si>
  <si>
    <t>TKT1193</t>
  </si>
  <si>
    <t>17-01-2026 15:00</t>
  </si>
  <si>
    <t>18-01-2026 09:00</t>
  </si>
  <si>
    <t>TKT1194</t>
  </si>
  <si>
    <t>TKT1195</t>
  </si>
  <si>
    <t>26-03-2026 21:00</t>
  </si>
  <si>
    <t>TKT1196</t>
  </si>
  <si>
    <t>TKT1197</t>
  </si>
  <si>
    <t>15-01-2026 00:00</t>
  </si>
  <si>
    <t>17-01-2026 21:00</t>
  </si>
  <si>
    <t>TKT1198</t>
  </si>
  <si>
    <t>22-01-2026 07:00</t>
  </si>
  <si>
    <t>24-01-2026 22:00</t>
  </si>
  <si>
    <t>TKT1199</t>
  </si>
  <si>
    <t>TKT1200</t>
  </si>
  <si>
    <t>TKT1201</t>
  </si>
  <si>
    <t>TKT1202</t>
  </si>
  <si>
    <t>21-01-2026 07:00</t>
  </si>
  <si>
    <t>23-01-2026 06:00</t>
  </si>
  <si>
    <t>TKT1203</t>
  </si>
  <si>
    <t>28-02-2026 05:00</t>
  </si>
  <si>
    <t>TKT1204</t>
  </si>
  <si>
    <t>TKT1205</t>
  </si>
  <si>
    <t>13-01-2026 06:00</t>
  </si>
  <si>
    <t>TKT1206</t>
  </si>
  <si>
    <t>TKT1207</t>
  </si>
  <si>
    <t>TKT1208</t>
  </si>
  <si>
    <t>13-03-2026 18:00</t>
  </si>
  <si>
    <t>16-03-2026 06:00</t>
  </si>
  <si>
    <t>TKT1209</t>
  </si>
  <si>
    <t>TKT1210</t>
  </si>
  <si>
    <t>TKT1211</t>
  </si>
  <si>
    <t>17-01-2026 19:00</t>
  </si>
  <si>
    <t>19-01-2026 07:00</t>
  </si>
  <si>
    <t>TKT1212</t>
  </si>
  <si>
    <t>TKT1213</t>
  </si>
  <si>
    <t>13-01-2026 16:00</t>
  </si>
  <si>
    <t>TKT1214</t>
  </si>
  <si>
    <t>19-01-2026 17:00</t>
  </si>
  <si>
    <t>22-01-2026 20:00</t>
  </si>
  <si>
    <t>TKT1215</t>
  </si>
  <si>
    <t>14-02-2026 01:00</t>
  </si>
  <si>
    <t>14-02-2026 22:00</t>
  </si>
  <si>
    <t>TKT1216</t>
  </si>
  <si>
    <t>13-02-2026 17:00</t>
  </si>
  <si>
    <t>TKT1217</t>
  </si>
  <si>
    <t>TKT1218</t>
  </si>
  <si>
    <t>TKT1219</t>
  </si>
  <si>
    <t>TKT1220</t>
  </si>
  <si>
    <t>TKT1221</t>
  </si>
  <si>
    <t>TKT1222</t>
  </si>
  <si>
    <t>16-01-2026 17:00</t>
  </si>
  <si>
    <t>TKT1223</t>
  </si>
  <si>
    <t>TKT1224</t>
  </si>
  <si>
    <t>15-01-2026 04:00</t>
  </si>
  <si>
    <t>18-01-2026 00:00</t>
  </si>
  <si>
    <t>TKT1225</t>
  </si>
  <si>
    <t>23-02-2026 14:00</t>
  </si>
  <si>
    <t>27-02-2026 05:00</t>
  </si>
  <si>
    <t>TKT1226</t>
  </si>
  <si>
    <t>TKT1227</t>
  </si>
  <si>
    <t>TKT1228</t>
  </si>
  <si>
    <t>15-01-2026 14:00</t>
  </si>
  <si>
    <t>TKT1229</t>
  </si>
  <si>
    <t>24-01-2026 12:00</t>
  </si>
  <si>
    <t>TKT1230</t>
  </si>
  <si>
    <t>TKT1231</t>
  </si>
  <si>
    <t>22-03-2026 09:00</t>
  </si>
  <si>
    <t>25-03-2026 02:00</t>
  </si>
  <si>
    <t>TKT1232</t>
  </si>
  <si>
    <t>TKT1233</t>
  </si>
  <si>
    <t>26-01-2026 04:00</t>
  </si>
  <si>
    <t>TKT1234</t>
  </si>
  <si>
    <t>30-01-2026 00:00</t>
  </si>
  <si>
    <t>TKT1235</t>
  </si>
  <si>
    <t>27-02-2026 04:00</t>
  </si>
  <si>
    <t>TKT1236</t>
  </si>
  <si>
    <t>20-03-2026 01:00</t>
  </si>
  <si>
    <t>TKT1237</t>
  </si>
  <si>
    <t>17-01-2026 17:00</t>
  </si>
  <si>
    <t>20-01-2026 21:00</t>
  </si>
  <si>
    <t>TKT1238</t>
  </si>
  <si>
    <t>20-03-2026 09:00</t>
  </si>
  <si>
    <t>24-03-2026 09:00</t>
  </si>
  <si>
    <t>TKT1239</t>
  </si>
  <si>
    <t>TKT1240</t>
  </si>
  <si>
    <t>16-01-2026 03:00</t>
  </si>
  <si>
    <t>TKT1241</t>
  </si>
  <si>
    <t>30-01-2026 02:00</t>
  </si>
  <si>
    <t>TKT1242</t>
  </si>
  <si>
    <t>19-03-2026 08:00</t>
  </si>
  <si>
    <t>22-03-2026 18:00</t>
  </si>
  <si>
    <t>TKT1243</t>
  </si>
  <si>
    <t>26-01-2026 07:00</t>
  </si>
  <si>
    <t>28-01-2026 16:00</t>
  </si>
  <si>
    <t>TKT1244</t>
  </si>
  <si>
    <t>TKT1245</t>
  </si>
  <si>
    <t>TKT1246</t>
  </si>
  <si>
    <t>TKT1247</t>
  </si>
  <si>
    <t>TKT1248</t>
  </si>
  <si>
    <t>TKT1249</t>
  </si>
  <si>
    <t>15-01-2026 03:00</t>
  </si>
  <si>
    <t>15-01-2026 20:00</t>
  </si>
  <si>
    <t>TKT1250</t>
  </si>
  <si>
    <t>TKT1251</t>
  </si>
  <si>
    <t>TKT1252</t>
  </si>
  <si>
    <t>21-01-2026 16:00</t>
  </si>
  <si>
    <t>22-01-2026 06:00</t>
  </si>
  <si>
    <t>TKT1253</t>
  </si>
  <si>
    <t>13-03-2026 19:00</t>
  </si>
  <si>
    <t>TKT1254</t>
  </si>
  <si>
    <t>TKT1255</t>
  </si>
  <si>
    <t>TKT1256</t>
  </si>
  <si>
    <t>TKT1257</t>
  </si>
  <si>
    <t>22-03-2026 07:00</t>
  </si>
  <si>
    <t>26-03-2026 05:00</t>
  </si>
  <si>
    <t>TKT1258</t>
  </si>
  <si>
    <t>15-02-2026 20:00</t>
  </si>
  <si>
    <t>18-02-2026 23:00</t>
  </si>
  <si>
    <t>TKT1259</t>
  </si>
  <si>
    <t>15-03-2026 15:00</t>
  </si>
  <si>
    <t>TKT1260</t>
  </si>
  <si>
    <t>TKT1261</t>
  </si>
  <si>
    <t>22-03-2026 15:00</t>
  </si>
  <si>
    <t>26-03-2026 06:00</t>
  </si>
  <si>
    <t>TKT1262</t>
  </si>
  <si>
    <t>TKT1263</t>
  </si>
  <si>
    <t>20-01-2026 10:00</t>
  </si>
  <si>
    <t>TKT1264</t>
  </si>
  <si>
    <t>25-02-2026 11:00</t>
  </si>
  <si>
    <t>26-02-2026 06:00</t>
  </si>
  <si>
    <t>TKT1265</t>
  </si>
  <si>
    <t>21-02-2026 14:00</t>
  </si>
  <si>
    <t>24-02-2026 12:00</t>
  </si>
  <si>
    <t>TKT1266</t>
  </si>
  <si>
    <t>TKT1267</t>
  </si>
  <si>
    <t>TKT1268</t>
  </si>
  <si>
    <t>TKT1269</t>
  </si>
  <si>
    <t>26-02-2026 22:00</t>
  </si>
  <si>
    <t>TKT1270</t>
  </si>
  <si>
    <t>20-02-2026 08:00</t>
  </si>
  <si>
    <t>23-02-2026 03:00</t>
  </si>
  <si>
    <t>TKT1271</t>
  </si>
  <si>
    <t>TKT1272</t>
  </si>
  <si>
    <t>TKT1273</t>
  </si>
  <si>
    <t>31-01-2026 09:00</t>
  </si>
  <si>
    <t>TKT1274</t>
  </si>
  <si>
    <t>20-03-2026 14:00</t>
  </si>
  <si>
    <t>24-03-2026 06:00</t>
  </si>
  <si>
    <t>TKT1275</t>
  </si>
  <si>
    <t>TKT1276</t>
  </si>
  <si>
    <t>TKT1277</t>
  </si>
  <si>
    <t>16-01-2026 00:00</t>
  </si>
  <si>
    <t>TKT1278</t>
  </si>
  <si>
    <t>TKT1279</t>
  </si>
  <si>
    <t>TKT1280</t>
  </si>
  <si>
    <t>TKT1281</t>
  </si>
  <si>
    <t>27-01-2026 09:00</t>
  </si>
  <si>
    <t>28-01-2026 21:00</t>
  </si>
  <si>
    <t>TKT1282</t>
  </si>
  <si>
    <t>TKT1283</t>
  </si>
  <si>
    <t>24-01-2026 14:00</t>
  </si>
  <si>
    <t>TKT1284</t>
  </si>
  <si>
    <t>TKT1285</t>
  </si>
  <si>
    <t>TKT1286</t>
  </si>
  <si>
    <t>TKT1287</t>
  </si>
  <si>
    <t>22-01-2026 00:00</t>
  </si>
  <si>
    <t>23-01-2026 01:00</t>
  </si>
  <si>
    <t>TKT1288</t>
  </si>
  <si>
    <t>14-01-2026 16:00</t>
  </si>
  <si>
    <t>15-01-2026 11:00</t>
  </si>
  <si>
    <t>TKT1289</t>
  </si>
  <si>
    <t>24-01-2026 19:00</t>
  </si>
  <si>
    <t>TKT1290</t>
  </si>
  <si>
    <t>TKT1291</t>
  </si>
  <si>
    <t>TKT1292</t>
  </si>
  <si>
    <t>TKT1293</t>
  </si>
  <si>
    <t>TKT1294</t>
  </si>
  <si>
    <t>28-01-2026 14:00</t>
  </si>
  <si>
    <t>29-01-2026 07:00</t>
  </si>
  <si>
    <t>TKT1295</t>
  </si>
  <si>
    <t>22-03-2026 22:00</t>
  </si>
  <si>
    <t>25-03-2026 21:00</t>
  </si>
  <si>
    <t>TKT1296</t>
  </si>
  <si>
    <t>24-01-2026 05:00</t>
  </si>
  <si>
    <t>26-01-2026 03:00</t>
  </si>
  <si>
    <t>TKT1297</t>
  </si>
  <si>
    <t>TKT1298</t>
  </si>
  <si>
    <t>TKT1299</t>
  </si>
  <si>
    <t>TKT1300</t>
  </si>
  <si>
    <t>TKT1301</t>
  </si>
  <si>
    <t>TKT1302</t>
  </si>
  <si>
    <t>21-02-2026 12:00</t>
  </si>
  <si>
    <t>23-02-2026 07:00</t>
  </si>
  <si>
    <t>TKT1303</t>
  </si>
  <si>
    <t>TKT1304</t>
  </si>
  <si>
    <t>13-02-2026 14:00</t>
  </si>
  <si>
    <t>16-02-2026 22:00</t>
  </si>
  <si>
    <t>TKT1305</t>
  </si>
  <si>
    <t>TKT1306</t>
  </si>
  <si>
    <t>13-01-2026 20:00</t>
  </si>
  <si>
    <t>TKT1307</t>
  </si>
  <si>
    <t>TKT1308</t>
  </si>
  <si>
    <t>TKT1309</t>
  </si>
  <si>
    <t>TKT1310</t>
  </si>
  <si>
    <t>16-01-2026 13:00</t>
  </si>
  <si>
    <t>TKT1311</t>
  </si>
  <si>
    <t>TKT1312</t>
  </si>
  <si>
    <t>TKT1313</t>
  </si>
  <si>
    <t>19-03-2026 14:00</t>
  </si>
  <si>
    <t>20-03-2026 07:00</t>
  </si>
  <si>
    <t>TKT1314</t>
  </si>
  <si>
    <t>25-01-2026 20:00</t>
  </si>
  <si>
    <t>TKT1315</t>
  </si>
  <si>
    <t>TKT1316</t>
  </si>
  <si>
    <t>23-01-2026 04:00</t>
  </si>
  <si>
    <t>26-01-2026 16:00</t>
  </si>
  <si>
    <t>TKT1317</t>
  </si>
  <si>
    <t>25-02-2026 20:00</t>
  </si>
  <si>
    <t>TKT1318</t>
  </si>
  <si>
    <t>28-01-2026 07:00</t>
  </si>
  <si>
    <t>30-01-2026 17:00</t>
  </si>
  <si>
    <t>TKT1319</t>
  </si>
  <si>
    <t>21-03-2026 07:00</t>
  </si>
  <si>
    <t>21-03-2026 22:00</t>
  </si>
  <si>
    <t>TKT1320</t>
  </si>
  <si>
    <t>23-01-2026 02:00</t>
  </si>
  <si>
    <t>23-01-2026 14:00</t>
  </si>
  <si>
    <t>TKT1321</t>
  </si>
  <si>
    <t>24-02-2026 02:00</t>
  </si>
  <si>
    <t>26-02-2026 14:00</t>
  </si>
  <si>
    <t>TKT1322</t>
  </si>
  <si>
    <t>TKT1323</t>
  </si>
  <si>
    <t>15-02-2026 03:00</t>
  </si>
  <si>
    <t>TKT1324</t>
  </si>
  <si>
    <t>21-02-2026 19:00</t>
  </si>
  <si>
    <t>TKT1325</t>
  </si>
  <si>
    <t>TKT1326</t>
  </si>
  <si>
    <t>22-02-2026 20:00</t>
  </si>
  <si>
    <t>23-02-2026 15:00</t>
  </si>
  <si>
    <t>TKT1327</t>
  </si>
  <si>
    <t>TKT1328</t>
  </si>
  <si>
    <t>14-01-2026 00:00</t>
  </si>
  <si>
    <t>TKT1329</t>
  </si>
  <si>
    <t>TKT1330</t>
  </si>
  <si>
    <t>14-02-2026 18:00</t>
  </si>
  <si>
    <t>15-02-2026 10:00</t>
  </si>
  <si>
    <t>TKT1331</t>
  </si>
  <si>
    <t>17-01-2026 20:00</t>
  </si>
  <si>
    <t>19-01-2026 22:00</t>
  </si>
  <si>
    <t>TKT1332</t>
  </si>
  <si>
    <t>20-01-2026 11:00</t>
  </si>
  <si>
    <t>TKT1333</t>
  </si>
  <si>
    <t>TKT1334</t>
  </si>
  <si>
    <t>21-02-2026 23:00</t>
  </si>
  <si>
    <t>TKT1335</t>
  </si>
  <si>
    <t>18-03-2026 19:00</t>
  </si>
  <si>
    <t>20-03-2026 16:00</t>
  </si>
  <si>
    <t>TKT1336</t>
  </si>
  <si>
    <t>23-03-2026 22:00</t>
  </si>
  <si>
    <t>25-03-2026 22:00</t>
  </si>
  <si>
    <t>TKT1337</t>
  </si>
  <si>
    <t>TKT1338</t>
  </si>
  <si>
    <t>29-01-2026 03:00</t>
  </si>
  <si>
    <t>TKT1339</t>
  </si>
  <si>
    <t>TKT1340</t>
  </si>
  <si>
    <t>20-02-2026 05:00</t>
  </si>
  <si>
    <t>23-02-2026 04:00</t>
  </si>
  <si>
    <t>TKT1341</t>
  </si>
  <si>
    <t>17-03-2026 08:00</t>
  </si>
  <si>
    <t>20-03-2026 05:00</t>
  </si>
  <si>
    <t>TKT1342</t>
  </si>
  <si>
    <t>26-02-2026 19:00</t>
  </si>
  <si>
    <t>TKT1343</t>
  </si>
  <si>
    <t>25-02-2026 10:00</t>
  </si>
  <si>
    <t>27-02-2026 17:00</t>
  </si>
  <si>
    <t>TKT1344</t>
  </si>
  <si>
    <t>25-02-2026 09:00</t>
  </si>
  <si>
    <t>27-02-2026 22:00</t>
  </si>
  <si>
    <t>TKT1345</t>
  </si>
  <si>
    <t>TKT1346</t>
  </si>
  <si>
    <t>15-03-2026 06:00</t>
  </si>
  <si>
    <t>TKT1347</t>
  </si>
  <si>
    <t>TKT1348</t>
  </si>
  <si>
    <t>TKT1349</t>
  </si>
  <si>
    <t>TKT1350</t>
  </si>
  <si>
    <t>TKT1351</t>
  </si>
  <si>
    <t>23-03-2026 14:00</t>
  </si>
  <si>
    <t>TKT1352</t>
  </si>
  <si>
    <t>30-01-2026 04:00</t>
  </si>
  <si>
    <t>TKT1353</t>
  </si>
  <si>
    <t>TKT1354</t>
  </si>
  <si>
    <t>TKT1355</t>
  </si>
  <si>
    <t>TKT1356</t>
  </si>
  <si>
    <t>TKT1357</t>
  </si>
  <si>
    <t>TKT1358</t>
  </si>
  <si>
    <t>27-01-2026 00:00</t>
  </si>
  <si>
    <t>30-01-2026 03:00</t>
  </si>
  <si>
    <t>TKT1359</t>
  </si>
  <si>
    <t>15-01-2026 19:00</t>
  </si>
  <si>
    <t>TKT1360</t>
  </si>
  <si>
    <t>25-01-2026 19:00</t>
  </si>
  <si>
    <t>28-01-2026 02:00</t>
  </si>
  <si>
    <t>TKT1361</t>
  </si>
  <si>
    <t>TKT1362</t>
  </si>
  <si>
    <t>TKT1363</t>
  </si>
  <si>
    <t>27-01-2026 22:00</t>
  </si>
  <si>
    <t>TKT1364</t>
  </si>
  <si>
    <t>18-02-2026 15:00</t>
  </si>
  <si>
    <t>TKT1365</t>
  </si>
  <si>
    <t>14-02-2026 04:00</t>
  </si>
  <si>
    <t>TKT1366</t>
  </si>
  <si>
    <t>19-03-2026 12:00</t>
  </si>
  <si>
    <t>TKT1367</t>
  </si>
  <si>
    <t>19-03-2026 04:00</t>
  </si>
  <si>
    <t>21-03-2026 05:00</t>
  </si>
  <si>
    <t>TKT1368</t>
  </si>
  <si>
    <t>TKT1369</t>
  </si>
  <si>
    <t>23-01-2026 17:00</t>
  </si>
  <si>
    <t>TKT1370</t>
  </si>
  <si>
    <t>25-02-2026 00:00</t>
  </si>
  <si>
    <t>TKT1371</t>
  </si>
  <si>
    <t>TKT1372</t>
  </si>
  <si>
    <t>22-02-2026 19:00</t>
  </si>
  <si>
    <t>TKT1373</t>
  </si>
  <si>
    <t>TKT1374</t>
  </si>
  <si>
    <t>TKT1375</t>
  </si>
  <si>
    <t>15-01-2026 05:00</t>
  </si>
  <si>
    <t>TKT1376</t>
  </si>
  <si>
    <t>26-02-2026 16:00</t>
  </si>
  <si>
    <t>TKT1377</t>
  </si>
  <si>
    <t>16-02-2026 21:00</t>
  </si>
  <si>
    <t>17-02-2026 14:00</t>
  </si>
  <si>
    <t>TKT1378</t>
  </si>
  <si>
    <t>TKT1379</t>
  </si>
  <si>
    <t>25-03-2026 01:00</t>
  </si>
  <si>
    <t>TKT1380</t>
  </si>
  <si>
    <t>16-01-2026 05:00</t>
  </si>
  <si>
    <t>19-01-2026 08:00</t>
  </si>
  <si>
    <t>TKT1381</t>
  </si>
  <si>
    <t>30-01-2026 07:00</t>
  </si>
  <si>
    <t>TKT1382</t>
  </si>
  <si>
    <t>TKT1383</t>
  </si>
  <si>
    <t>TKT1384</t>
  </si>
  <si>
    <t>25-01-2026 00:00</t>
  </si>
  <si>
    <t>TKT1385</t>
  </si>
  <si>
    <t>23-01-2026 03:00</t>
  </si>
  <si>
    <t>TKT1386</t>
  </si>
  <si>
    <t>20-02-2026 07:00</t>
  </si>
  <si>
    <t>TKT1387</t>
  </si>
  <si>
    <t>13-03-2026 03:00</t>
  </si>
  <si>
    <t>16-03-2026 02:00</t>
  </si>
  <si>
    <t>TKT1388</t>
  </si>
  <si>
    <t>26-03-2026 01:00</t>
  </si>
  <si>
    <t>TKT1389</t>
  </si>
  <si>
    <t>TKT1390</t>
  </si>
  <si>
    <t>TKT1391</t>
  </si>
  <si>
    <t>TKT1392</t>
  </si>
  <si>
    <t>23-03-2026 13:00</t>
  </si>
  <si>
    <t>TKT1393</t>
  </si>
  <si>
    <t>TKT1394</t>
  </si>
  <si>
    <t>TKT1395</t>
  </si>
  <si>
    <t>TKT1396</t>
  </si>
  <si>
    <t>20-03-2026 02:00</t>
  </si>
  <si>
    <t>TKT1397</t>
  </si>
  <si>
    <t>29-01-2026 21:00</t>
  </si>
  <si>
    <t>30-01-2026 22:00</t>
  </si>
  <si>
    <t>TKT1398</t>
  </si>
  <si>
    <t>13-03-2026 00:00</t>
  </si>
  <si>
    <t>14-03-2026 02:00</t>
  </si>
  <si>
    <t>TKT1399</t>
  </si>
  <si>
    <t>13-02-2026 11:00</t>
  </si>
  <si>
    <t>TKT1400</t>
  </si>
  <si>
    <t>TKT1401</t>
  </si>
  <si>
    <t>TKT1402</t>
  </si>
  <si>
    <t>21-03-2026 11:00</t>
  </si>
  <si>
    <t>TKT1403</t>
  </si>
  <si>
    <t>19-03-2026 20:00</t>
  </si>
  <si>
    <t>23-03-2026 16:00</t>
  </si>
  <si>
    <t>TKT1404</t>
  </si>
  <si>
    <t>25-02-2026 16:00</t>
  </si>
  <si>
    <t>TKT1405</t>
  </si>
  <si>
    <t>24-01-2026 13:00</t>
  </si>
  <si>
    <t>TKT1406</t>
  </si>
  <si>
    <t>TKT1407</t>
  </si>
  <si>
    <t>16-03-2026 03:00</t>
  </si>
  <si>
    <t>TKT1408</t>
  </si>
  <si>
    <t>TKT1409</t>
  </si>
  <si>
    <t>14-03-2026 08:00</t>
  </si>
  <si>
    <t>14-03-2026 22:00</t>
  </si>
  <si>
    <t>TKT1410</t>
  </si>
  <si>
    <t>14-03-2026 06:00</t>
  </si>
  <si>
    <t>TKT1411</t>
  </si>
  <si>
    <t>25-02-2026 21:00</t>
  </si>
  <si>
    <t>TKT1412</t>
  </si>
  <si>
    <t>20-02-2026 17:00</t>
  </si>
  <si>
    <t>21-02-2026 16:00</t>
  </si>
  <si>
    <t>TKT1413</t>
  </si>
  <si>
    <t>TKT1414</t>
  </si>
  <si>
    <t>TKT1415</t>
  </si>
  <si>
    <t>TKT1416</t>
  </si>
  <si>
    <t>TKT1417</t>
  </si>
  <si>
    <t>TKT1418</t>
  </si>
  <si>
    <t>TKT1419</t>
  </si>
  <si>
    <t>TKT1420</t>
  </si>
  <si>
    <t>TKT1421</t>
  </si>
  <si>
    <t>TKT1422</t>
  </si>
  <si>
    <t>13-02-2026 07:00</t>
  </si>
  <si>
    <t>17-02-2026 00:00</t>
  </si>
  <si>
    <t>TKT1423</t>
  </si>
  <si>
    <t>TKT1424</t>
  </si>
  <si>
    <t>TKT1425</t>
  </si>
  <si>
    <t>TKT1426</t>
  </si>
  <si>
    <t>16-02-2026 12:00</t>
  </si>
  <si>
    <t>17-02-2026 12:00</t>
  </si>
  <si>
    <t>TKT1427</t>
  </si>
  <si>
    <t>TKT1428</t>
  </si>
  <si>
    <t>TKT1429</t>
  </si>
  <si>
    <t>TKT1430</t>
  </si>
  <si>
    <t>15-03-2026 20:00</t>
  </si>
  <si>
    <t>TKT1431</t>
  </si>
  <si>
    <t>TKT1432</t>
  </si>
  <si>
    <t>TKT1433</t>
  </si>
  <si>
    <t>TKT1434</t>
  </si>
  <si>
    <t>26-01-2026 09:00</t>
  </si>
  <si>
    <t>TKT1435</t>
  </si>
  <si>
    <t>TKT1436</t>
  </si>
  <si>
    <t>TKT1437</t>
  </si>
  <si>
    <t>TKT1438</t>
  </si>
  <si>
    <t>TKT1439</t>
  </si>
  <si>
    <t>22-03-2026 19:00</t>
  </si>
  <si>
    <t>25-03-2026 20:00</t>
  </si>
  <si>
    <t>TKT1440</t>
  </si>
  <si>
    <t>16-01-2026 01:00</t>
  </si>
  <si>
    <t>TKT1441</t>
  </si>
  <si>
    <t>21-01-2026 05:00</t>
  </si>
  <si>
    <t>22-01-2026 11:00</t>
  </si>
  <si>
    <t>TKT1442</t>
  </si>
  <si>
    <t>13-01-2026 11:00</t>
  </si>
  <si>
    <t>TKT1443</t>
  </si>
  <si>
    <t>28-02-2026 01:00</t>
  </si>
  <si>
    <t>TKT1444</t>
  </si>
  <si>
    <t>14-03-2026 18:00</t>
  </si>
  <si>
    <t>TKT1445</t>
  </si>
  <si>
    <t>TKT1446</t>
  </si>
  <si>
    <t>23-01-2026 23:00</t>
  </si>
  <si>
    <t>27-01-2026 21:00</t>
  </si>
  <si>
    <t>TKT1447</t>
  </si>
  <si>
    <t>16-02-2026 23:00</t>
  </si>
  <si>
    <t>18-02-2026 00:00</t>
  </si>
  <si>
    <t>TKT1448</t>
  </si>
  <si>
    <t>TKT1449</t>
  </si>
  <si>
    <t>TKT1450</t>
  </si>
  <si>
    <t>TKT1451</t>
  </si>
  <si>
    <t>16-02-2026 02:00</t>
  </si>
  <si>
    <t>TKT1452</t>
  </si>
  <si>
    <t>TKT1453</t>
  </si>
  <si>
    <t>TKT1454</t>
  </si>
  <si>
    <t>23-02-2026 02:00</t>
  </si>
  <si>
    <t>24-02-2026 04:00</t>
  </si>
  <si>
    <t>TKT1455</t>
  </si>
  <si>
    <t>26-01-2026 18:00</t>
  </si>
  <si>
    <t>TKT1456</t>
  </si>
  <si>
    <t>TKT1457</t>
  </si>
  <si>
    <t>TKT1458</t>
  </si>
  <si>
    <t>18-01-2026 08:00</t>
  </si>
  <si>
    <t>20-01-2026 00:00</t>
  </si>
  <si>
    <t>TKT1459</t>
  </si>
  <si>
    <t>TKT1460</t>
  </si>
  <si>
    <t>TKT1461</t>
  </si>
  <si>
    <t>TKT1462</t>
  </si>
  <si>
    <t>TKT1463</t>
  </si>
  <si>
    <t>18-01-2026 12:00</t>
  </si>
  <si>
    <t>TKT1464</t>
  </si>
  <si>
    <t>TKT1465</t>
  </si>
  <si>
    <t>TKT1466</t>
  </si>
  <si>
    <t>15-02-2026 08:00</t>
  </si>
  <si>
    <t>17-02-2026 20:00</t>
  </si>
  <si>
    <t>TKT1467</t>
  </si>
  <si>
    <t>TKT1468</t>
  </si>
  <si>
    <t>TKT1469</t>
  </si>
  <si>
    <t>TKT1470</t>
  </si>
  <si>
    <t>14-01-2026 02:00</t>
  </si>
  <si>
    <t>TKT1471</t>
  </si>
  <si>
    <t>15-01-2026 18:00</t>
  </si>
  <si>
    <t>TKT1472</t>
  </si>
  <si>
    <t>TKT1473</t>
  </si>
  <si>
    <t>TKT1474</t>
  </si>
  <si>
    <t>22-01-2026 02:00</t>
  </si>
  <si>
    <t>25-01-2026 11:00</t>
  </si>
  <si>
    <t>TKT1475</t>
  </si>
  <si>
    <t>TKT1476</t>
  </si>
  <si>
    <t>16-03-2026 13:00</t>
  </si>
  <si>
    <t>18-03-2026 13:00</t>
  </si>
  <si>
    <t>TKT1477</t>
  </si>
  <si>
    <t>TKT1478</t>
  </si>
  <si>
    <t>17-03-2026 12:00</t>
  </si>
  <si>
    <t>TKT1479</t>
  </si>
  <si>
    <t>TKT1480</t>
  </si>
  <si>
    <t>22-02-2026 04:00</t>
  </si>
  <si>
    <t>26-02-2026 02:00</t>
  </si>
  <si>
    <t>TKT1481</t>
  </si>
  <si>
    <t>13-03-2026 11:00</t>
  </si>
  <si>
    <t>TKT1482</t>
  </si>
  <si>
    <t>23-02-2026 22:00</t>
  </si>
  <si>
    <t>TKT1483</t>
  </si>
  <si>
    <t>22-02-2026 05:00</t>
  </si>
  <si>
    <t>TKT1484</t>
  </si>
  <si>
    <t>22-01-2026 21:00</t>
  </si>
  <si>
    <t>24-01-2026 15:00</t>
  </si>
  <si>
    <t>TKT1485</t>
  </si>
  <si>
    <t>TKT1486</t>
  </si>
  <si>
    <t>27-03-2026 02:00</t>
  </si>
  <si>
    <t>TKT1487</t>
  </si>
  <si>
    <t>16-02-2026 15:00</t>
  </si>
  <si>
    <t>TKT1488</t>
  </si>
  <si>
    <t>TKT1489</t>
  </si>
  <si>
    <t>17-01-2026 11:00</t>
  </si>
  <si>
    <t>TKT1490</t>
  </si>
  <si>
    <t>TKT1491</t>
  </si>
  <si>
    <t>22-03-2026 06:00</t>
  </si>
  <si>
    <t>TKT1492</t>
  </si>
  <si>
    <t>TKT1493</t>
  </si>
  <si>
    <t>23-02-2026 05:00</t>
  </si>
  <si>
    <t>TKT1494</t>
  </si>
  <si>
    <t>27-02-2026 09:00</t>
  </si>
  <si>
    <t>TKT1495</t>
  </si>
  <si>
    <t>19-03-2026 09:00</t>
  </si>
  <si>
    <t>22-03-2026 00:00</t>
  </si>
  <si>
    <t>TKT1496</t>
  </si>
  <si>
    <t>14-02-2026 02:00</t>
  </si>
  <si>
    <t>TKT1497</t>
  </si>
  <si>
    <t>17-03-2026 11:00</t>
  </si>
  <si>
    <t>TKT1498</t>
  </si>
  <si>
    <t>27-01-2026 08:00</t>
  </si>
  <si>
    <t>29-01-2026 16:00</t>
  </si>
  <si>
    <t>TKT1499</t>
  </si>
  <si>
    <t>31-01-2026 21:00</t>
  </si>
  <si>
    <t>TKT1500</t>
  </si>
  <si>
    <t>27-02-2026 06:00</t>
  </si>
  <si>
    <t>TKT1501</t>
  </si>
  <si>
    <t>TKT1502</t>
  </si>
  <si>
    <t>19-01-2026 00:00</t>
  </si>
  <si>
    <t>TKT1503</t>
  </si>
  <si>
    <t>13-02-2026 12:00</t>
  </si>
  <si>
    <t>TKT1504</t>
  </si>
  <si>
    <t>TKT1505</t>
  </si>
  <si>
    <t>15-02-2026 01:00</t>
  </si>
  <si>
    <t>17-02-2026 07:00</t>
  </si>
  <si>
    <t>TKT1506</t>
  </si>
  <si>
    <t>18-01-2026 03:00</t>
  </si>
  <si>
    <t>18-01-2026 16:00</t>
  </si>
  <si>
    <t>TKT1507</t>
  </si>
  <si>
    <t>18-02-2026 05:00</t>
  </si>
  <si>
    <t>TKT1508</t>
  </si>
  <si>
    <t>TKT1509</t>
  </si>
  <si>
    <t>24-03-2026 20:00</t>
  </si>
  <si>
    <t>28-03-2026 07:00</t>
  </si>
  <si>
    <t>TKT1510</t>
  </si>
  <si>
    <t>23-01-2026 13:00</t>
  </si>
  <si>
    <t>25-01-2026 13:00</t>
  </si>
  <si>
    <t>TKT1511</t>
  </si>
  <si>
    <t>14-03-2026 03:00</t>
  </si>
  <si>
    <t>16-03-2026 11:00</t>
  </si>
  <si>
    <t>TKT1512</t>
  </si>
  <si>
    <t>TKT1513</t>
  </si>
  <si>
    <t>TKT1514</t>
  </si>
  <si>
    <t>TKT1515</t>
  </si>
  <si>
    <t>TKT1516</t>
  </si>
  <si>
    <t>TKT1517</t>
  </si>
  <si>
    <t>19-03-2026 06:00</t>
  </si>
  <si>
    <t>22-03-2026 10:00</t>
  </si>
  <si>
    <t>TKT1518</t>
  </si>
  <si>
    <t>22-03-2026 16:00</t>
  </si>
  <si>
    <t>TKT1519</t>
  </si>
  <si>
    <t>21-02-2026 03:00</t>
  </si>
  <si>
    <t>22-02-2026 15:00</t>
  </si>
  <si>
    <t>TKT1520</t>
  </si>
  <si>
    <t>21-03-2026 09:00</t>
  </si>
  <si>
    <t>24-03-2026 12:00</t>
  </si>
  <si>
    <t>TKT1521</t>
  </si>
  <si>
    <t>TKT1522</t>
  </si>
  <si>
    <t>13-01-2026 19:00</t>
  </si>
  <si>
    <t>TKT1523</t>
  </si>
  <si>
    <t>TKT1524</t>
  </si>
  <si>
    <t>21-01-2026 19:00</t>
  </si>
  <si>
    <t>TKT1525</t>
  </si>
  <si>
    <t>18-01-2026 05:00</t>
  </si>
  <si>
    <t>TKT1526</t>
  </si>
  <si>
    <t>TKT1527</t>
  </si>
  <si>
    <t>TKT1528</t>
  </si>
  <si>
    <t>TKT1529</t>
  </si>
  <si>
    <t>TKT1530</t>
  </si>
  <si>
    <t>20-02-2026 13:00</t>
  </si>
  <si>
    <t>TKT1531</t>
  </si>
  <si>
    <t>TKT1532</t>
  </si>
  <si>
    <t>TKT1533</t>
  </si>
  <si>
    <t>26-01-2026 21:00</t>
  </si>
  <si>
    <t>27-01-2026 19:00</t>
  </si>
  <si>
    <t>TKT1534</t>
  </si>
  <si>
    <t>15-03-2026 12:00</t>
  </si>
  <si>
    <t>17-03-2026 05:00</t>
  </si>
  <si>
    <t>TKT1535</t>
  </si>
  <si>
    <t>TKT1536</t>
  </si>
  <si>
    <t>TKT1537</t>
  </si>
  <si>
    <t>31-01-2026 15:00</t>
  </si>
  <si>
    <t>TKT1538</t>
  </si>
  <si>
    <t>TKT1539</t>
  </si>
  <si>
    <t>25-01-2026 08:00</t>
  </si>
  <si>
    <t>27-01-2026 03:00</t>
  </si>
  <si>
    <t>TKT1540</t>
  </si>
  <si>
    <t>19-02-2026 04:00</t>
  </si>
  <si>
    <t>21-02-2026 09:00</t>
  </si>
  <si>
    <t>TKT1541</t>
  </si>
  <si>
    <t>13-01-2026 03:00</t>
  </si>
  <si>
    <t>14-01-2026 07:00</t>
  </si>
  <si>
    <t>TKT1542</t>
  </si>
  <si>
    <t>TKT1543</t>
  </si>
  <si>
    <t>TKT1544</t>
  </si>
  <si>
    <t>TKT1545</t>
  </si>
  <si>
    <t>TKT1546</t>
  </si>
  <si>
    <t>22-02-2026 12:00</t>
  </si>
  <si>
    <t>24-02-2026 08:00</t>
  </si>
  <si>
    <t>TKT1547</t>
  </si>
  <si>
    <t>15-02-2026 02:00</t>
  </si>
  <si>
    <t>TKT1548</t>
  </si>
  <si>
    <t>TKT1549</t>
  </si>
  <si>
    <t>TKT1550</t>
  </si>
  <si>
    <t>13-02-2026 06:00</t>
  </si>
  <si>
    <t>TKT1551</t>
  </si>
  <si>
    <t>14-03-2026 10:00</t>
  </si>
  <si>
    <t>17-03-2026 17:00</t>
  </si>
  <si>
    <t>TKT1552</t>
  </si>
  <si>
    <t>TKT1553</t>
  </si>
  <si>
    <t>14-03-2026 21:00</t>
  </si>
  <si>
    <t>17-03-2026 19:00</t>
  </si>
  <si>
    <t>TKT1554</t>
  </si>
  <si>
    <t>TKT1555</t>
  </si>
  <si>
    <t>TKT1556</t>
  </si>
  <si>
    <t>TKT1557</t>
  </si>
  <si>
    <t>TKT1558</t>
  </si>
  <si>
    <t>20-01-2026 08:00</t>
  </si>
  <si>
    <t>TKT1559</t>
  </si>
  <si>
    <t>TKT1560</t>
  </si>
  <si>
    <t>TKT1561</t>
  </si>
  <si>
    <t>26-03-2026 00:00</t>
  </si>
  <si>
    <t>TKT1562</t>
  </si>
  <si>
    <t>TKT1563</t>
  </si>
  <si>
    <t>24-03-2026 05:00</t>
  </si>
  <si>
    <t>TKT1564</t>
  </si>
  <si>
    <t>19-01-2026 20:00</t>
  </si>
  <si>
    <t>21-01-2026 10:00</t>
  </si>
  <si>
    <t>TKT1565</t>
  </si>
  <si>
    <t>TKT1566</t>
  </si>
  <si>
    <t>27-01-2026 15:00</t>
  </si>
  <si>
    <t>31-01-2026 01:00</t>
  </si>
  <si>
    <t>TKT1567</t>
  </si>
  <si>
    <t>22-02-2026 01:00</t>
  </si>
  <si>
    <t>TKT1568</t>
  </si>
  <si>
    <t>25-01-2026 09:00</t>
  </si>
  <si>
    <t>TKT1569</t>
  </si>
  <si>
    <t>13-01-2026 12:00</t>
  </si>
  <si>
    <t>TKT1570</t>
  </si>
  <si>
    <t>17-02-2026 08:00</t>
  </si>
  <si>
    <t>18-02-2026 02:00</t>
  </si>
  <si>
    <t>TKT1571</t>
  </si>
  <si>
    <t>24-01-2026 23:00</t>
  </si>
  <si>
    <t>TKT1572</t>
  </si>
  <si>
    <t>TKT1573</t>
  </si>
  <si>
    <t>TKT1574</t>
  </si>
  <si>
    <t>28-01-2026 06:00</t>
  </si>
  <si>
    <t>TKT1575</t>
  </si>
  <si>
    <t>21-02-2026 15:00</t>
  </si>
  <si>
    <t>TKT1576</t>
  </si>
  <si>
    <t>22-03-2026 13:00</t>
  </si>
  <si>
    <t>25-03-2026 23:00</t>
  </si>
  <si>
    <t>TKT1577</t>
  </si>
  <si>
    <t>TKT1578</t>
  </si>
  <si>
    <t>14-03-2026 17:00</t>
  </si>
  <si>
    <t>TKT1579</t>
  </si>
  <si>
    <t>TKT1580</t>
  </si>
  <si>
    <t>18-03-2026 12:00</t>
  </si>
  <si>
    <t>TKT1581</t>
  </si>
  <si>
    <t>14-01-2026 15:00</t>
  </si>
  <si>
    <t>16-01-2026 16:00</t>
  </si>
  <si>
    <t>TKT1582</t>
  </si>
  <si>
    <t>TKT1583</t>
  </si>
  <si>
    <t>TKT1584</t>
  </si>
  <si>
    <t>16-02-2026 05:00</t>
  </si>
  <si>
    <t>TKT1585</t>
  </si>
  <si>
    <t>TKT1586</t>
  </si>
  <si>
    <t>TKT1587</t>
  </si>
  <si>
    <t>16-03-2026 05:00</t>
  </si>
  <si>
    <t>19-03-2026 10:00</t>
  </si>
  <si>
    <t>TKT1588</t>
  </si>
  <si>
    <t>TKT1589</t>
  </si>
  <si>
    <t>TKT1590</t>
  </si>
  <si>
    <t>17-01-2026 03:00</t>
  </si>
  <si>
    <t>20-01-2026 16:00</t>
  </si>
  <si>
    <t>TKT1591</t>
  </si>
  <si>
    <t>TKT1592</t>
  </si>
  <si>
    <t>TKT1593</t>
  </si>
  <si>
    <t>TKT1594</t>
  </si>
  <si>
    <t>28-01-2026 17:00</t>
  </si>
  <si>
    <t>TKT1595</t>
  </si>
  <si>
    <t>TKT1596</t>
  </si>
  <si>
    <t>22-01-2026 12:00</t>
  </si>
  <si>
    <t>TKT1597</t>
  </si>
  <si>
    <t>23-02-2026 17:00</t>
  </si>
  <si>
    <t>TKT1598</t>
  </si>
  <si>
    <t>19-02-2026 01:00</t>
  </si>
  <si>
    <t>TKT1599</t>
  </si>
  <si>
    <t>TKT1600</t>
  </si>
  <si>
    <t>24-02-2026 19:00</t>
  </si>
  <si>
    <t>27-02-2026 23:00</t>
  </si>
  <si>
    <t>TKT1601</t>
  </si>
  <si>
    <t>TKT1602</t>
  </si>
  <si>
    <t>28-02-2026 23:00</t>
  </si>
  <si>
    <t>TKT1603</t>
  </si>
  <si>
    <t>13-02-2026 22:00</t>
  </si>
  <si>
    <t>TKT1604</t>
  </si>
  <si>
    <t>21-03-2026 19:00</t>
  </si>
  <si>
    <t>TKT1605</t>
  </si>
  <si>
    <t>25-03-2026 03:00</t>
  </si>
  <si>
    <t>26-03-2026 14:00</t>
  </si>
  <si>
    <t>TKT1606</t>
  </si>
  <si>
    <t>18-01-2026 11:00</t>
  </si>
  <si>
    <t>22-01-2026 01:00</t>
  </si>
  <si>
    <t>TKT1607</t>
  </si>
  <si>
    <t>20-01-2026 12:00</t>
  </si>
  <si>
    <t>TKT1608</t>
  </si>
  <si>
    <t>23-02-2026 16:00</t>
  </si>
  <si>
    <t>TKT1609</t>
  </si>
  <si>
    <t>TKT1610</t>
  </si>
  <si>
    <t>TKT1611</t>
  </si>
  <si>
    <t>TKT1612</t>
  </si>
  <si>
    <t>22-03-2026 21:00</t>
  </si>
  <si>
    <t>26-03-2026 10:00</t>
  </si>
  <si>
    <t>TKT1613</t>
  </si>
  <si>
    <t>TKT1614</t>
  </si>
  <si>
    <t>22-03-2026 17:00</t>
  </si>
  <si>
    <t>24-03-2026 21:00</t>
  </si>
  <si>
    <t>TKT1615</t>
  </si>
  <si>
    <t>27-02-2026 13:00</t>
  </si>
  <si>
    <t>28-02-2026 22:00</t>
  </si>
  <si>
    <t>TKT1616</t>
  </si>
  <si>
    <t>TKT1617</t>
  </si>
  <si>
    <t>19-02-2026 07:00</t>
  </si>
  <si>
    <t>21-02-2026 22:00</t>
  </si>
  <si>
    <t>TKT1618</t>
  </si>
  <si>
    <t>TKT1619</t>
  </si>
  <si>
    <t>TKT1620</t>
  </si>
  <si>
    <t>18-02-2026 11:00</t>
  </si>
  <si>
    <t>22-02-2026 07:00</t>
  </si>
  <si>
    <t>TKT1621</t>
  </si>
  <si>
    <t>TKT1622</t>
  </si>
  <si>
    <t>22-02-2026 17:00</t>
  </si>
  <si>
    <t>TKT1623</t>
  </si>
  <si>
    <t>21-01-2026 12:00</t>
  </si>
  <si>
    <t>TKT1624</t>
  </si>
  <si>
    <t>TKT1625</t>
  </si>
  <si>
    <t>TKT1626</t>
  </si>
  <si>
    <t>20-02-2026 16:00</t>
  </si>
  <si>
    <t>24-02-2026 00:00</t>
  </si>
  <si>
    <t>TKT1627</t>
  </si>
  <si>
    <t>TKT1628</t>
  </si>
  <si>
    <t>TKT1629</t>
  </si>
  <si>
    <t>TKT1630</t>
  </si>
  <si>
    <t>TKT1631</t>
  </si>
  <si>
    <t>31-01-2026 06:00</t>
  </si>
  <si>
    <t>TKT1632</t>
  </si>
  <si>
    <t>13-02-2026 23:00</t>
  </si>
  <si>
    <t>TKT1633</t>
  </si>
  <si>
    <t>28-02-2026 20:00</t>
  </si>
  <si>
    <t>TKT1634</t>
  </si>
  <si>
    <t>31-01-2026 02:00</t>
  </si>
  <si>
    <t>TKT1635</t>
  </si>
  <si>
    <t>29-01-2026 12:00</t>
  </si>
  <si>
    <t>TKT1636</t>
  </si>
  <si>
    <t>18-01-2026 17:00</t>
  </si>
  <si>
    <t>20-01-2026 14:00</t>
  </si>
  <si>
    <t>TKT1637</t>
  </si>
  <si>
    <t>TKT1638</t>
  </si>
  <si>
    <t>TKT1639</t>
  </si>
  <si>
    <t>TKT1640</t>
  </si>
  <si>
    <t>TKT1641</t>
  </si>
  <si>
    <t>15-01-2026 15:00</t>
  </si>
  <si>
    <t>TKT1642</t>
  </si>
  <si>
    <t>TKT1643</t>
  </si>
  <si>
    <t>17-01-2026 00:00</t>
  </si>
  <si>
    <t>TKT1644</t>
  </si>
  <si>
    <t>TKT1645</t>
  </si>
  <si>
    <t>TKT1646</t>
  </si>
  <si>
    <t>TKT1647</t>
  </si>
  <si>
    <t>20-03-2026 15:00</t>
  </si>
  <si>
    <t>24-03-2026 03:00</t>
  </si>
  <si>
    <t>TKT1648</t>
  </si>
  <si>
    <t>TKT1649</t>
  </si>
  <si>
    <t>19-03-2026 21:00</t>
  </si>
  <si>
    <t>TKT1650</t>
  </si>
  <si>
    <t>TKT1651</t>
  </si>
  <si>
    <t>27-01-2026 13:00</t>
  </si>
  <si>
    <t>TKT1652</t>
  </si>
  <si>
    <t>TKT1653</t>
  </si>
  <si>
    <t>TKT1654</t>
  </si>
  <si>
    <t>28-01-2026 08:00</t>
  </si>
  <si>
    <t>TKT1655</t>
  </si>
  <si>
    <t>TKT1656</t>
  </si>
  <si>
    <t>TKT1657</t>
  </si>
  <si>
    <t>TKT1658</t>
  </si>
  <si>
    <t>TKT1659</t>
  </si>
  <si>
    <t>24-01-2026 10:00</t>
  </si>
  <si>
    <t>25-01-2026 22:00</t>
  </si>
  <si>
    <t>TKT1660</t>
  </si>
  <si>
    <t>TKT1661</t>
  </si>
  <si>
    <t>TKT1662</t>
  </si>
  <si>
    <t>14-02-2026 20:00</t>
  </si>
  <si>
    <t>TKT1663</t>
  </si>
  <si>
    <t>TKT1664</t>
  </si>
  <si>
    <t>13-02-2026 19:00</t>
  </si>
  <si>
    <t>17-02-2026 02:00</t>
  </si>
  <si>
    <t>TKT1665</t>
  </si>
  <si>
    <t>TKT1666</t>
  </si>
  <si>
    <t>TKT1667</t>
  </si>
  <si>
    <t>23-03-2026 04:00</t>
  </si>
  <si>
    <t>26-03-2026 23:00</t>
  </si>
  <si>
    <t>TKT1668</t>
  </si>
  <si>
    <t>TKT1669</t>
  </si>
  <si>
    <t>TKT1670</t>
  </si>
  <si>
    <t>TKT1671</t>
  </si>
  <si>
    <t>TKT1672</t>
  </si>
  <si>
    <t>TKT1673</t>
  </si>
  <si>
    <t>15-03-2026 08:00</t>
  </si>
  <si>
    <t>17-03-2026 15:00</t>
  </si>
  <si>
    <t>TKT1674</t>
  </si>
  <si>
    <t>18-03-2026 17:00</t>
  </si>
  <si>
    <t>20-03-2026 23:00</t>
  </si>
  <si>
    <t>TKT1675</t>
  </si>
  <si>
    <t>23-01-2026 12:00</t>
  </si>
  <si>
    <t>TKT1676</t>
  </si>
  <si>
    <t>TKT1677</t>
  </si>
  <si>
    <t>TKT1678</t>
  </si>
  <si>
    <t>17-03-2026 20:00</t>
  </si>
  <si>
    <t>21-03-2026 04:00</t>
  </si>
  <si>
    <t>TKT1679</t>
  </si>
  <si>
    <t>23-03-2026 23:00</t>
  </si>
  <si>
    <t>26-03-2026 22:00</t>
  </si>
  <si>
    <t>TKT1680</t>
  </si>
  <si>
    <t>31-01-2026 14:00</t>
  </si>
  <si>
    <t>TKT1681</t>
  </si>
  <si>
    <t>TKT1682</t>
  </si>
  <si>
    <t>TKT1683</t>
  </si>
  <si>
    <t>TKT1684</t>
  </si>
  <si>
    <t>16-02-2026 00:00</t>
  </si>
  <si>
    <t>19-02-2026 18:00</t>
  </si>
  <si>
    <t>TKT1685</t>
  </si>
  <si>
    <t>13-01-2026 00:00</t>
  </si>
  <si>
    <t>14-01-2026 23:00</t>
  </si>
  <si>
    <t>TKT1686</t>
  </si>
  <si>
    <t>TKT1687</t>
  </si>
  <si>
    <t>TKT1688</t>
  </si>
  <si>
    <t>TKT1689</t>
  </si>
  <si>
    <t>TKT1690</t>
  </si>
  <si>
    <t>16-03-2026 10:00</t>
  </si>
  <si>
    <t>TKT1691</t>
  </si>
  <si>
    <t>TKT1692</t>
  </si>
  <si>
    <t>16-01-2026 23:00</t>
  </si>
  <si>
    <t>20-01-2026 01:00</t>
  </si>
  <si>
    <t>TKT1693</t>
  </si>
  <si>
    <t>20-02-2026 21:00</t>
  </si>
  <si>
    <t>21-02-2026 11:00</t>
  </si>
  <si>
    <t>TKT1694</t>
  </si>
  <si>
    <t>20-02-2026 10:00</t>
  </si>
  <si>
    <t>TKT1695</t>
  </si>
  <si>
    <t>TKT1696</t>
  </si>
  <si>
    <t>TKT1697</t>
  </si>
  <si>
    <t>14-03-2026 12:00</t>
  </si>
  <si>
    <t>18-03-2026 08:00</t>
  </si>
  <si>
    <t>TKT1698</t>
  </si>
  <si>
    <t>28-02-2026 10:00</t>
  </si>
  <si>
    <t>TKT1699</t>
  </si>
  <si>
    <t>22-02-2026 06:00</t>
  </si>
  <si>
    <t>25-02-2026 12:00</t>
  </si>
  <si>
    <t>TKT1700</t>
  </si>
  <si>
    <t>TKT1701</t>
  </si>
  <si>
    <t>TKT1702</t>
  </si>
  <si>
    <t>TKT1703</t>
  </si>
  <si>
    <t>TKT1704</t>
  </si>
  <si>
    <t>TKT1705</t>
  </si>
  <si>
    <t>21-03-2026 03:00</t>
  </si>
  <si>
    <t>TKT1706</t>
  </si>
  <si>
    <t>25-02-2026 17:00</t>
  </si>
  <si>
    <t>TKT1707</t>
  </si>
  <si>
    <t>20-03-2026 12:00</t>
  </si>
  <si>
    <t>22-03-2026 14:00</t>
  </si>
  <si>
    <t>TKT1708</t>
  </si>
  <si>
    <t>TKT1709</t>
  </si>
  <si>
    <t>28-02-2026 15:00</t>
  </si>
  <si>
    <t>TKT1710</t>
  </si>
  <si>
    <t>TKT1711</t>
  </si>
  <si>
    <t>22-01-2026 16:00</t>
  </si>
  <si>
    <t>TKT1712</t>
  </si>
  <si>
    <t>19-03-2026 00:00</t>
  </si>
  <si>
    <t>TKT1713</t>
  </si>
  <si>
    <t>TKT1714</t>
  </si>
  <si>
    <t>TKT1715</t>
  </si>
  <si>
    <t>TKT1716</t>
  </si>
  <si>
    <t>20-03-2026 19:00</t>
  </si>
  <si>
    <t>24-03-2026 16:00</t>
  </si>
  <si>
    <t>TKT1717</t>
  </si>
  <si>
    <t>TKT1718</t>
  </si>
  <si>
    <t>19-01-2026 10:00</t>
  </si>
  <si>
    <t>TKT1719</t>
  </si>
  <si>
    <t>13-03-2026 21:00</t>
  </si>
  <si>
    <t>14-03-2026 09:00</t>
  </si>
  <si>
    <t>TKT1720</t>
  </si>
  <si>
    <t>TKT1721</t>
  </si>
  <si>
    <t>22-02-2026 11:00</t>
  </si>
  <si>
    <t>TKT1722</t>
  </si>
  <si>
    <t>28-02-2026 00:00</t>
  </si>
  <si>
    <t>TKT1723</t>
  </si>
  <si>
    <t>28-01-2026 03:00</t>
  </si>
  <si>
    <t>29-01-2026 09:00</t>
  </si>
  <si>
    <t>TKT1724</t>
  </si>
  <si>
    <t>TKT1725</t>
  </si>
  <si>
    <t>TKT1726</t>
  </si>
  <si>
    <t>TKT1727</t>
  </si>
  <si>
    <t>TKT1728</t>
  </si>
  <si>
    <t>TKT1729</t>
  </si>
  <si>
    <t>13-02-2026 09:00</t>
  </si>
  <si>
    <t>14-02-2026 15:00</t>
  </si>
  <si>
    <t>TKT1730</t>
  </si>
  <si>
    <t>17-03-2026 07:00</t>
  </si>
  <si>
    <t>TKT1731</t>
  </si>
  <si>
    <t>TKT1732</t>
  </si>
  <si>
    <t>21-02-2026 05:00</t>
  </si>
  <si>
    <t>23-02-2026 21:00</t>
  </si>
  <si>
    <t>TKT1733</t>
  </si>
  <si>
    <t>30-01-2026 11:00</t>
  </si>
  <si>
    <t>TKT1734</t>
  </si>
  <si>
    <t>TKT1735</t>
  </si>
  <si>
    <t>18-01-2026 06:00</t>
  </si>
  <si>
    <t>TKT1736</t>
  </si>
  <si>
    <t>16-01-2026 04:00</t>
  </si>
  <si>
    <t>TKT1737</t>
  </si>
  <si>
    <t>TKT1738</t>
  </si>
  <si>
    <t>TKT1739</t>
  </si>
  <si>
    <t>TKT1740</t>
  </si>
  <si>
    <t>24-01-2026 01:00</t>
  </si>
  <si>
    <t>TKT1741</t>
  </si>
  <si>
    <t>23-03-2026 10:00</t>
  </si>
  <si>
    <t>TKT1742</t>
  </si>
  <si>
    <t>TKT1743</t>
  </si>
  <si>
    <t>28-01-2026 23:00</t>
  </si>
  <si>
    <t>TKT1744</t>
  </si>
  <si>
    <t>TKT1745</t>
  </si>
  <si>
    <t>TKT1746</t>
  </si>
  <si>
    <t>26-03-2026 18:00</t>
  </si>
  <si>
    <t>TKT1747</t>
  </si>
  <si>
    <t>18-01-2026 01:00</t>
  </si>
  <si>
    <t>20-01-2026 17:00</t>
  </si>
  <si>
    <t>TKT1748</t>
  </si>
  <si>
    <t>TKT1749</t>
  </si>
  <si>
    <t>29-01-2026 13:00</t>
  </si>
  <si>
    <t>TKT1750</t>
  </si>
  <si>
    <t>TKT1751</t>
  </si>
  <si>
    <t>27-03-2026 15:00</t>
  </si>
  <si>
    <t>TKT1752</t>
  </si>
  <si>
    <t>16-03-2026 15:00</t>
  </si>
  <si>
    <t>TKT1753</t>
  </si>
  <si>
    <t>TKT1754</t>
  </si>
  <si>
    <t>15-03-2026 23:00</t>
  </si>
  <si>
    <t>18-03-2026 22:00</t>
  </si>
  <si>
    <t>TKT1755</t>
  </si>
  <si>
    <t>17-01-2026 02:00</t>
  </si>
  <si>
    <t>TKT1756</t>
  </si>
  <si>
    <t>TKT1757</t>
  </si>
  <si>
    <t>TKT1758</t>
  </si>
  <si>
    <t>TKT1759</t>
  </si>
  <si>
    <t>TKT1760</t>
  </si>
  <si>
    <t>14-02-2026 09:00</t>
  </si>
  <si>
    <t>TKT1761</t>
  </si>
  <si>
    <t>TKT1762</t>
  </si>
  <si>
    <t>21-03-2026 17:00</t>
  </si>
  <si>
    <t>TKT1763</t>
  </si>
  <si>
    <t>TKT1764</t>
  </si>
  <si>
    <t>13-03-2026 17:00</t>
  </si>
  <si>
    <t>TKT1765</t>
  </si>
  <si>
    <t>19-01-2026 12:00</t>
  </si>
  <si>
    <t>21-01-2026 03:00</t>
  </si>
  <si>
    <t>TKT1766</t>
  </si>
  <si>
    <t>25-02-2026 19:00</t>
  </si>
  <si>
    <t>26-02-2026 10:00</t>
  </si>
  <si>
    <t>TKT1767</t>
  </si>
  <si>
    <t>TKT1768</t>
  </si>
  <si>
    <t>TKT1769</t>
  </si>
  <si>
    <t>21-02-2026 06:00</t>
  </si>
  <si>
    <t>TKT1770</t>
  </si>
  <si>
    <t>TKT1771</t>
  </si>
  <si>
    <t>20-01-2026 20:00</t>
  </si>
  <si>
    <t>TKT1772</t>
  </si>
  <si>
    <t>19-03-2026 02:00</t>
  </si>
  <si>
    <t>TKT1773</t>
  </si>
  <si>
    <t>15-02-2026 22:00</t>
  </si>
  <si>
    <t>18-02-2026 19:00</t>
  </si>
  <si>
    <t>TKT1774</t>
  </si>
  <si>
    <t>28-02-2026 03:00</t>
  </si>
  <si>
    <t>TKT1775</t>
  </si>
  <si>
    <t>TKT1776</t>
  </si>
  <si>
    <t>TKT1777</t>
  </si>
  <si>
    <t>TKT1778</t>
  </si>
  <si>
    <t>15-01-2026 21:00</t>
  </si>
  <si>
    <t>TKT1779</t>
  </si>
  <si>
    <t>TKT1780</t>
  </si>
  <si>
    <t>TKT1781</t>
  </si>
  <si>
    <t>17-01-2026 08:00</t>
  </si>
  <si>
    <t>19-01-2026 04:00</t>
  </si>
  <si>
    <t>TKT1782</t>
  </si>
  <si>
    <t>TKT1783</t>
  </si>
  <si>
    <t>24-03-2026 17:00</t>
  </si>
  <si>
    <t>TKT1784</t>
  </si>
  <si>
    <t>TKT1785</t>
  </si>
  <si>
    <t>14-03-2026 04:00</t>
  </si>
  <si>
    <t>14-03-2026 20:00</t>
  </si>
  <si>
    <t>TKT1786</t>
  </si>
  <si>
    <t>14-01-2026 10:00</t>
  </si>
  <si>
    <t>TKT1787</t>
  </si>
  <si>
    <t>21-02-2026 07:00</t>
  </si>
  <si>
    <t>TKT1788</t>
  </si>
  <si>
    <t>29-01-2026 22:00</t>
  </si>
  <si>
    <t>30-01-2026 23:00</t>
  </si>
  <si>
    <t>TKT1789</t>
  </si>
  <si>
    <t>14-02-2026 05:00</t>
  </si>
  <si>
    <t>TKT1790</t>
  </si>
  <si>
    <t>TKT1791</t>
  </si>
  <si>
    <t>16-02-2026 06:00</t>
  </si>
  <si>
    <t>TKT1792</t>
  </si>
  <si>
    <t>13-02-2026 00:00</t>
  </si>
  <si>
    <t>TKT1793</t>
  </si>
  <si>
    <t>TKT1794</t>
  </si>
  <si>
    <t>TKT1795</t>
  </si>
  <si>
    <t>TKT1796</t>
  </si>
  <si>
    <t>18-01-2026 07:00</t>
  </si>
  <si>
    <t>TKT1797</t>
  </si>
  <si>
    <t>TKT1798</t>
  </si>
  <si>
    <t>TKT1799</t>
  </si>
  <si>
    <t>TKT1800</t>
  </si>
  <si>
    <t>TKT1801</t>
  </si>
  <si>
    <t>TKT1802</t>
  </si>
  <si>
    <t>21-03-2026 18:00</t>
  </si>
  <si>
    <t>TKT1803</t>
  </si>
  <si>
    <t>TKT1804</t>
  </si>
  <si>
    <t>TKT1805</t>
  </si>
  <si>
    <t>TKT1806</t>
  </si>
  <si>
    <t>15-02-2026 19:00</t>
  </si>
  <si>
    <t>17-02-2026 22:00</t>
  </si>
  <si>
    <t>TKT1807</t>
  </si>
  <si>
    <t>13-01-2026 10:00</t>
  </si>
  <si>
    <t>TKT1808</t>
  </si>
  <si>
    <t>TKT1809</t>
  </si>
  <si>
    <t>20-01-2026 15:00</t>
  </si>
  <si>
    <t>21-01-2026 09:00</t>
  </si>
  <si>
    <t>TKT1810</t>
  </si>
  <si>
    <t>TKT1811</t>
  </si>
  <si>
    <t>TKT1812</t>
  </si>
  <si>
    <t>TKT1813</t>
  </si>
  <si>
    <t>24-02-2026 14:00</t>
  </si>
  <si>
    <t>TKT1814</t>
  </si>
  <si>
    <t>18-02-2026 14:00</t>
  </si>
  <si>
    <t>TKT1815</t>
  </si>
  <si>
    <t>TKT1816</t>
  </si>
  <si>
    <t>14-01-2026 20:00</t>
  </si>
  <si>
    <t>17-01-2026 16:00</t>
  </si>
  <si>
    <t>TKT1817</t>
  </si>
  <si>
    <t>TKT1818</t>
  </si>
  <si>
    <t>TKT1819</t>
  </si>
  <si>
    <t>19-02-2026 19:00</t>
  </si>
  <si>
    <t>TKT1820</t>
  </si>
  <si>
    <t>30-01-2026 09:00</t>
  </si>
  <si>
    <t>TKT1821</t>
  </si>
  <si>
    <t>TKT1822</t>
  </si>
  <si>
    <t>23-03-2026 20:00</t>
  </si>
  <si>
    <t>TKT1823</t>
  </si>
  <si>
    <t>24-01-2026 17:00</t>
  </si>
  <si>
    <t>26-01-2026 20:00</t>
  </si>
  <si>
    <t>TKT1824</t>
  </si>
  <si>
    <t>28-02-2026 16:00</t>
  </si>
  <si>
    <t>TKT1825</t>
  </si>
  <si>
    <t>17-01-2026 13:00</t>
  </si>
  <si>
    <t>TKT1826</t>
  </si>
  <si>
    <t>27-03-2026 18:00</t>
  </si>
  <si>
    <t>TKT1827</t>
  </si>
  <si>
    <t>TKT1828</t>
  </si>
  <si>
    <t>TKT1829</t>
  </si>
  <si>
    <t>TKT1830</t>
  </si>
  <si>
    <t>25-02-2026 14:00</t>
  </si>
  <si>
    <t>26-02-2026 15:00</t>
  </si>
  <si>
    <t>TKT1831</t>
  </si>
  <si>
    <t>TKT1832</t>
  </si>
  <si>
    <t>24-01-2026 16:00</t>
  </si>
  <si>
    <t>TKT1833</t>
  </si>
  <si>
    <t>24-02-2026 06:00</t>
  </si>
  <si>
    <t>26-02-2026 12:00</t>
  </si>
  <si>
    <t>TKT1834</t>
  </si>
  <si>
    <t>TKT1835</t>
  </si>
  <si>
    <t>TKT1836</t>
  </si>
  <si>
    <t>TKT1837</t>
  </si>
  <si>
    <t>TKT1838</t>
  </si>
  <si>
    <t>TKT1839</t>
  </si>
  <si>
    <t>25-02-2026 18:00</t>
  </si>
  <si>
    <t>TKT1840</t>
  </si>
  <si>
    <t>15-03-2026 05:00</t>
  </si>
  <si>
    <t>TKT1841</t>
  </si>
  <si>
    <t>TKT1842</t>
  </si>
  <si>
    <t>TKT1843</t>
  </si>
  <si>
    <t>TKT1844</t>
  </si>
  <si>
    <t>21-01-2026 18:00</t>
  </si>
  <si>
    <t>25-01-2026 16:00</t>
  </si>
  <si>
    <t>TKT1845</t>
  </si>
  <si>
    <t>TKT1846</t>
  </si>
  <si>
    <t>20-02-2026 03:00</t>
  </si>
  <si>
    <t>TKT1847</t>
  </si>
  <si>
    <t>TKT1848</t>
  </si>
  <si>
    <t>20-03-2026 04:00</t>
  </si>
  <si>
    <t>TKT1849</t>
  </si>
  <si>
    <t>24-02-2026 07:00</t>
  </si>
  <si>
    <t>26-02-2026 18:00</t>
  </si>
  <si>
    <t>TKT1850</t>
  </si>
  <si>
    <t>TKT1851</t>
  </si>
  <si>
    <t>TKT1852</t>
  </si>
  <si>
    <t>22-01-2026 13:00</t>
  </si>
  <si>
    <t>TKT1853</t>
  </si>
  <si>
    <t>TKT1854</t>
  </si>
  <si>
    <t>TKT1855</t>
  </si>
  <si>
    <t>TKT1856</t>
  </si>
  <si>
    <t>TKT1857</t>
  </si>
  <si>
    <t>TKT1858</t>
  </si>
  <si>
    <t>16-02-2026 09:00</t>
  </si>
  <si>
    <t>19-02-2026 09:00</t>
  </si>
  <si>
    <t>TKT1859</t>
  </si>
  <si>
    <t>TKT1860</t>
  </si>
  <si>
    <t>TKT1861</t>
  </si>
  <si>
    <t>23-01-2026 10:00</t>
  </si>
  <si>
    <t>TKT1862</t>
  </si>
  <si>
    <t>22-03-2026 11:00</t>
  </si>
  <si>
    <t>TKT1863</t>
  </si>
  <si>
    <t>TKT1864</t>
  </si>
  <si>
    <t>TKT1865</t>
  </si>
  <si>
    <t>18-01-2026 10:00</t>
  </si>
  <si>
    <t>TKT1866</t>
  </si>
  <si>
    <t>TKT1867</t>
  </si>
  <si>
    <t>TKT1868</t>
  </si>
  <si>
    <t>TKT1869</t>
  </si>
  <si>
    <t>TKT1870</t>
  </si>
  <si>
    <t>TKT1871</t>
  </si>
  <si>
    <t>TKT1872</t>
  </si>
  <si>
    <t>28-03-2026 20:00</t>
  </si>
  <si>
    <t>TKT1873</t>
  </si>
  <si>
    <t>TKT1874</t>
  </si>
  <si>
    <t>TKT1875</t>
  </si>
  <si>
    <t>15-02-2026 07:00</t>
  </si>
  <si>
    <t>TKT1876</t>
  </si>
  <si>
    <t>TKT1877</t>
  </si>
  <si>
    <t>TKT1878</t>
  </si>
  <si>
    <t>TKT1879</t>
  </si>
  <si>
    <t>TKT1880</t>
  </si>
  <si>
    <t>TKT1881</t>
  </si>
  <si>
    <t>TKT1882</t>
  </si>
  <si>
    <t>TKT1883</t>
  </si>
  <si>
    <t>TKT1884</t>
  </si>
  <si>
    <t>TKT1885</t>
  </si>
  <si>
    <t>TKT1886</t>
  </si>
  <si>
    <t>19-03-2026 03:00</t>
  </si>
  <si>
    <t>TKT1887</t>
  </si>
  <si>
    <t>18-01-2026 13:00</t>
  </si>
  <si>
    <t>TKT1888</t>
  </si>
  <si>
    <t>29-01-2026 23:00</t>
  </si>
  <si>
    <t>TKT1889</t>
  </si>
  <si>
    <t>TKT1890</t>
  </si>
  <si>
    <t>19-02-2026 22:00</t>
  </si>
  <si>
    <t>TKT1891</t>
  </si>
  <si>
    <t>TKT1892</t>
  </si>
  <si>
    <t>TKT1893</t>
  </si>
  <si>
    <t>TKT1894</t>
  </si>
  <si>
    <t>TKT1895</t>
  </si>
  <si>
    <t>TKT1896</t>
  </si>
  <si>
    <t>17-03-2026 14:00</t>
  </si>
  <si>
    <t>18-03-2026 04:00</t>
  </si>
  <si>
    <t>TKT1897</t>
  </si>
  <si>
    <t>TKT1898</t>
  </si>
  <si>
    <t>TKT1899</t>
  </si>
  <si>
    <t>TKT1900</t>
  </si>
  <si>
    <t>TKT1901</t>
  </si>
  <si>
    <t>TKT1902</t>
  </si>
  <si>
    <t>16-03-2026 23:00</t>
  </si>
  <si>
    <t>TKT1903</t>
  </si>
  <si>
    <t>TKT1904</t>
  </si>
  <si>
    <t>TKT1905</t>
  </si>
  <si>
    <t>TKT1906</t>
  </si>
  <si>
    <t>TKT1907</t>
  </si>
  <si>
    <t>TKT1908</t>
  </si>
  <si>
    <t>TKT1909</t>
  </si>
  <si>
    <t>TKT1910</t>
  </si>
  <si>
    <t>TKT1911</t>
  </si>
  <si>
    <t>23-03-2026 01:00</t>
  </si>
  <si>
    <t>23-03-2026 15:00</t>
  </si>
  <si>
    <t>TKT1912</t>
  </si>
  <si>
    <t>TKT1913</t>
  </si>
  <si>
    <t>21-01-2026 17:00</t>
  </si>
  <si>
    <t>TKT1914</t>
  </si>
  <si>
    <t>25-03-2026 13:00</t>
  </si>
  <si>
    <t>TKT1915</t>
  </si>
  <si>
    <t>23-03-2026 21:00</t>
  </si>
  <si>
    <t>TKT1916</t>
  </si>
  <si>
    <t>TKT1917</t>
  </si>
  <si>
    <t>28-02-2026 11:00</t>
  </si>
  <si>
    <t>TKT1918</t>
  </si>
  <si>
    <t>16-02-2026 07:00</t>
  </si>
  <si>
    <t>TKT1919</t>
  </si>
  <si>
    <t>TKT1920</t>
  </si>
  <si>
    <t>TKT1921</t>
  </si>
  <si>
    <t>26-01-2026 19:00</t>
  </si>
  <si>
    <t>TKT1922</t>
  </si>
  <si>
    <t>14-01-2026 13:00</t>
  </si>
  <si>
    <t>15-01-2026 13:00</t>
  </si>
  <si>
    <t>TKT1923</t>
  </si>
  <si>
    <t>15-03-2026 14:00</t>
  </si>
  <si>
    <t>TKT1924</t>
  </si>
  <si>
    <t>TKT1925</t>
  </si>
  <si>
    <t>TKT1926</t>
  </si>
  <si>
    <t>TKT1927</t>
  </si>
  <si>
    <t>TKT1928</t>
  </si>
  <si>
    <t>TKT1929</t>
  </si>
  <si>
    <t>23-01-2026 05:00</t>
  </si>
  <si>
    <t>TKT1930</t>
  </si>
  <si>
    <t>TKT1931</t>
  </si>
  <si>
    <t>TKT1932</t>
  </si>
  <si>
    <t>TKT1933</t>
  </si>
  <si>
    <t>TKT1934</t>
  </si>
  <si>
    <t>27-02-2026 15:00</t>
  </si>
  <si>
    <t>TKT1935</t>
  </si>
  <si>
    <t>25-02-2026 23:00</t>
  </si>
  <si>
    <t>TKT1936</t>
  </si>
  <si>
    <t>27-01-2026 17:00</t>
  </si>
  <si>
    <t>TKT1937</t>
  </si>
  <si>
    <t>15-01-2026 02:00</t>
  </si>
  <si>
    <t>TKT1938</t>
  </si>
  <si>
    <t>16-01-2026 09:00</t>
  </si>
  <si>
    <t>TKT1939</t>
  </si>
  <si>
    <t>13-03-2026 07:00</t>
  </si>
  <si>
    <t>TKT1940</t>
  </si>
  <si>
    <t>TKT1941</t>
  </si>
  <si>
    <t>21-03-2026 02:00</t>
  </si>
  <si>
    <t>TKT1942</t>
  </si>
  <si>
    <t>15-03-2026 04:00</t>
  </si>
  <si>
    <t>TKT1943</t>
  </si>
  <si>
    <t>15-01-2026 17:00</t>
  </si>
  <si>
    <t>TKT1944</t>
  </si>
  <si>
    <t>TKT1945</t>
  </si>
  <si>
    <t>30-01-2026 12:00</t>
  </si>
  <si>
    <t>TKT1946</t>
  </si>
  <si>
    <t>TKT1947</t>
  </si>
  <si>
    <t>TKT1948</t>
  </si>
  <si>
    <t>TKT1949</t>
  </si>
  <si>
    <t>TKT1950</t>
  </si>
  <si>
    <t>15-01-2026 12:00</t>
  </si>
  <si>
    <t>TKT1951</t>
  </si>
  <si>
    <t>TKT1952</t>
  </si>
  <si>
    <t>13-02-2026 03:00</t>
  </si>
  <si>
    <t>TKT1953</t>
  </si>
  <si>
    <t>TKT1954</t>
  </si>
  <si>
    <t>21-01-2026 22:00</t>
  </si>
  <si>
    <t>TKT1955</t>
  </si>
  <si>
    <t>16-02-2026 19:00</t>
  </si>
  <si>
    <t>TKT1956</t>
  </si>
  <si>
    <t>17-02-2026 21:00</t>
  </si>
  <si>
    <t>TKT1957</t>
  </si>
  <si>
    <t>TKT1958</t>
  </si>
  <si>
    <t>TKT1959</t>
  </si>
  <si>
    <t>TKT1960</t>
  </si>
  <si>
    <t>TKT1961</t>
  </si>
  <si>
    <t>TKT1962</t>
  </si>
  <si>
    <t>TKT1963</t>
  </si>
  <si>
    <t>TKT1964</t>
  </si>
  <si>
    <t>TKT1965</t>
  </si>
  <si>
    <t>TKT1966</t>
  </si>
  <si>
    <t>13-02-2026 16:00</t>
  </si>
  <si>
    <t>TKT1967</t>
  </si>
  <si>
    <t>TKT1968</t>
  </si>
  <si>
    <t>TKT1969</t>
  </si>
  <si>
    <t>TKT1970</t>
  </si>
  <si>
    <t>TKT1971</t>
  </si>
  <si>
    <t>TKT1972</t>
  </si>
  <si>
    <t>TKT1973</t>
  </si>
  <si>
    <t>16-01-2026 21:00</t>
  </si>
  <si>
    <t>TKT1974</t>
  </si>
  <si>
    <t>TKT1975</t>
  </si>
  <si>
    <t>25-02-2026 15:00</t>
  </si>
  <si>
    <t>TKT1976</t>
  </si>
  <si>
    <t>TKT1977</t>
  </si>
  <si>
    <t>TKT1978</t>
  </si>
  <si>
    <t>27-02-2026 07:00</t>
  </si>
  <si>
    <t>TKT1979</t>
  </si>
  <si>
    <t>TKT1980</t>
  </si>
  <si>
    <t>20-01-2026 07:00</t>
  </si>
  <si>
    <t>TKT1981</t>
  </si>
  <si>
    <t>23-02-2026 20:00</t>
  </si>
  <si>
    <t>TKT1982</t>
  </si>
  <si>
    <t>TKT1983</t>
  </si>
  <si>
    <t>28-02-2026 08:00</t>
  </si>
  <si>
    <t>TKT1984</t>
  </si>
  <si>
    <t>13-01-2026 22:00</t>
  </si>
  <si>
    <t>16-01-2026 18:00</t>
  </si>
  <si>
    <t>TKT1985</t>
  </si>
  <si>
    <t>TKT1986</t>
  </si>
  <si>
    <t>TKT1987</t>
  </si>
  <si>
    <t>TKT1988</t>
  </si>
  <si>
    <t>20-03-2026 13:00</t>
  </si>
  <si>
    <t>TKT1989</t>
  </si>
  <si>
    <t>TKT1990</t>
  </si>
  <si>
    <t>TKT1991</t>
  </si>
  <si>
    <t>TKT1992</t>
  </si>
  <si>
    <t>TKT1993</t>
  </si>
  <si>
    <t>TKT1994</t>
  </si>
  <si>
    <t>26-02-2026 09:00</t>
  </si>
  <si>
    <t>27-02-2026 21:00</t>
  </si>
  <si>
    <t>TKT1995</t>
  </si>
  <si>
    <t>TKT1996</t>
  </si>
  <si>
    <t>TKT1997</t>
  </si>
  <si>
    <t>TKT1998</t>
  </si>
  <si>
    <t>TKT1999</t>
  </si>
  <si>
    <t>Total Tickets</t>
  </si>
  <si>
    <t>Breached</t>
  </si>
  <si>
    <t>Within SLA</t>
  </si>
  <si>
    <t>Grand Total</t>
  </si>
  <si>
    <t>Breach %</t>
  </si>
  <si>
    <t>Operational SLA Performance Dashboard</t>
  </si>
  <si>
    <r>
      <rPr>
        <rFont val="Comfortaa"/>
        <color theme="1"/>
        <sz val="21.0"/>
      </rPr>
      <t xml:space="preserve">Total Ticket </t>
    </r>
    <r>
      <rPr>
        <rFont val="Comfortaa"/>
        <b/>
        <color theme="1"/>
        <sz val="21.0"/>
      </rPr>
      <t>1000</t>
    </r>
  </si>
  <si>
    <r>
      <rPr>
        <rFont val="Comfortaa"/>
        <color rgb="FF990000"/>
        <sz val="21.0"/>
      </rPr>
      <t xml:space="preserve">Total Breaches </t>
    </r>
    <r>
      <rPr>
        <rFont val="Comfortaa"/>
        <b/>
        <color rgb="FF990000"/>
        <sz val="21.0"/>
      </rPr>
      <t>543</t>
    </r>
  </si>
  <si>
    <r>
      <rPr>
        <rFont val="Comfortaa"/>
        <color theme="1"/>
        <sz val="21.0"/>
      </rPr>
      <t xml:space="preserve">Overall Breach </t>
    </r>
    <r>
      <rPr>
        <rFont val="Comfortaa"/>
        <b/>
        <color theme="1"/>
        <sz val="21.0"/>
      </rPr>
      <t>54.3%</t>
    </r>
  </si>
  <si>
    <t>Key Insights
• Overall SLA breach rate is 54.3%, indicating majority of tickets are not meeting timelines.
• Breach rates exceed 53% across all departments, suggesting a systemic operational issue.
• Finance and Procurement show the highest exposure and require priority review.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</si>
</sst>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mm-dd-yyyy h:mm"/>
    <numFmt numFmtId="166" formatCode="0.0%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b/>
      <sz val="29.0"/>
      <color rgb="FF000000"/>
      <name val="Arial"/>
      <scheme val="minor"/>
    </font>
    <font>
      <sz val="21.0"/>
      <color theme="1"/>
      <name val="Comfortaa"/>
    </font>
    <font>
      <sz val="21.0"/>
      <color rgb="FF000000"/>
      <name val="Comfortaa"/>
    </font>
    <font>
      <b/>
      <color rgb="FF351C75"/>
      <name val="Arial"/>
      <scheme val="minor"/>
    </font>
    <font/>
    <font>
      <b/>
      <color rgb="FF434343"/>
      <name val="Arial"/>
      <scheme val="minor"/>
    </font>
    <font>
      <color rgb="FFCC0000"/>
      <name val="Arial"/>
      <scheme val="minor"/>
    </font>
    <font>
      <color rgb="FF434343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51C75"/>
      </left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165" xfId="0" applyAlignment="1" applyFont="1" applyNumberFormat="1">
      <alignment horizontal="right" readingOrder="0" shrinkToFit="0" wrapText="0"/>
    </xf>
    <xf borderId="0" fillId="0" fontId="1" numFmtId="0" xfId="0" applyAlignment="1" applyFont="1">
      <alignment horizontal="right" readingOrder="0" shrinkToFit="0" wrapText="0"/>
    </xf>
    <xf borderId="0" fillId="0" fontId="2" numFmtId="164" xfId="0" applyFont="1" applyNumberFormat="1"/>
    <xf borderId="0" fillId="0" fontId="2" numFmtId="0" xfId="0" applyAlignment="1" applyFont="1">
      <alignment horizontal="center"/>
    </xf>
    <xf borderId="0" fillId="0" fontId="2" numFmtId="10" xfId="0" applyAlignment="1" applyFont="1" applyNumberFormat="1">
      <alignment horizontal="center"/>
    </xf>
    <xf borderId="0" fillId="2" fontId="2" numFmtId="0" xfId="0" applyFill="1" applyFont="1"/>
    <xf borderId="0" fillId="0" fontId="2" numFmtId="0" xfId="0" applyAlignment="1" applyFont="1">
      <alignment horizontal="center" readingOrder="0"/>
    </xf>
    <xf borderId="0" fillId="2" fontId="2" numFmtId="10" xfId="0" applyFont="1" applyNumberFormat="1"/>
    <xf borderId="0" fillId="2" fontId="3" numFmtId="0" xfId="0" applyAlignment="1" applyFont="1">
      <alignment horizontal="center" readingOrder="0"/>
    </xf>
    <xf borderId="0" fillId="2" fontId="4" numFmtId="0" xfId="0" applyAlignment="1" applyFont="1">
      <alignment horizontal="center" readingOrder="0"/>
    </xf>
    <xf borderId="0" fillId="2" fontId="5" numFmtId="0" xfId="0" applyAlignment="1" applyFont="1">
      <alignment horizontal="center" readingOrder="0"/>
    </xf>
    <xf borderId="0" fillId="2" fontId="4" numFmtId="0" xfId="0" applyAlignment="1" applyFont="1">
      <alignment readingOrder="0"/>
    </xf>
    <xf borderId="1" fillId="2" fontId="6" numFmtId="0" xfId="0" applyAlignment="1" applyBorder="1" applyFont="1">
      <alignment readingOrder="0"/>
    </xf>
    <xf borderId="2" fillId="0" fontId="7" numFmtId="0" xfId="0" applyBorder="1" applyFont="1"/>
    <xf borderId="3" fillId="0" fontId="7" numFmtId="0" xfId="0" applyBorder="1" applyFont="1"/>
    <xf borderId="0" fillId="2" fontId="8" numFmtId="0" xfId="0" applyAlignment="1" applyFont="1">
      <alignment horizontal="center"/>
    </xf>
    <xf borderId="0" fillId="2" fontId="9" numFmtId="0" xfId="0" applyAlignment="1" applyFont="1">
      <alignment horizontal="center"/>
    </xf>
    <xf borderId="0" fillId="2" fontId="2" numFmtId="10" xfId="0" applyAlignment="1" applyFont="1" applyNumberFormat="1">
      <alignment horizontal="center"/>
    </xf>
    <xf borderId="0" fillId="2" fontId="10" numFmtId="0" xfId="0" applyAlignment="1" applyFont="1">
      <alignment horizontal="center"/>
    </xf>
    <xf borderId="4" fillId="2" fontId="10" numFmtId="166" xfId="0" applyAlignment="1" applyBorder="1" applyFont="1" applyNumberFormat="1">
      <alignment horizontal="center" readingOrder="0"/>
    </xf>
    <xf borderId="0" fillId="2" fontId="2" numFmtId="0" xfId="0" applyAlignment="1" applyFont="1">
      <alignment horizontal="center"/>
    </xf>
    <xf borderId="4" fillId="2" fontId="10" numFmtId="166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'Dashboard &amp; Pivot Table '!$E$1:$E$2</c:f>
            </c:strRef>
          </c:tx>
          <c:spPr>
            <a:solidFill>
              <a:srgbClr val="99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'Dashboard &amp; Pivot Table '!$A$3:$A$7</c:f>
            </c:strRef>
          </c:cat>
          <c:val>
            <c:numRef>
              <c:f>'Dashboard &amp; Pivot Table '!$E$3:$E$7</c:f>
              <c:numCache/>
            </c:numRef>
          </c:val>
        </c:ser>
        <c:axId val="1725640207"/>
        <c:axId val="1364373088"/>
      </c:barChart>
      <c:catAx>
        <c:axId val="1725640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364373088"/>
      </c:catAx>
      <c:valAx>
        <c:axId val="13643730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7256402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'Dashboard &amp; Pivot Table '!$B$1:$B$2</c:f>
            </c:strRef>
          </c:tx>
          <c:spPr>
            <a:solidFill>
              <a:srgbClr val="99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'Dashboard &amp; Pivot Table '!$A$3:$A$7</c:f>
            </c:strRef>
          </c:cat>
          <c:val>
            <c:numRef>
              <c:f>'Dashboard &amp; Pivot Table '!$B$3:$B$7</c:f>
              <c:numCache/>
            </c:numRef>
          </c:val>
        </c:ser>
        <c:ser>
          <c:idx val="1"/>
          <c:order val="1"/>
          <c:tx>
            <c:strRef>
              <c:f>'Dashboard &amp; Pivot Table '!$C$1:$C$2</c:f>
            </c:strRef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'Dashboard &amp; Pivot Table '!$A$3:$A$7</c:f>
            </c:strRef>
          </c:cat>
          <c:val>
            <c:numRef>
              <c:f>'Dashboard &amp; Pivot Table '!$C$3:$C$7</c:f>
              <c:numCache/>
            </c:numRef>
          </c:val>
        </c:ser>
        <c:overlap val="100"/>
        <c:axId val="218481717"/>
        <c:axId val="564730010"/>
      </c:barChart>
      <c:catAx>
        <c:axId val="2184817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564730010"/>
      </c:catAx>
      <c:valAx>
        <c:axId val="5647300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2184817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161925</xdr:colOff>
      <xdr:row>14</xdr:row>
      <xdr:rowOff>47625</xdr:rowOff>
    </xdr:from>
    <xdr:ext cx="5105400" cy="29146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657225</xdr:colOff>
      <xdr:row>11</xdr:row>
      <xdr:rowOff>47625</xdr:rowOff>
    </xdr:from>
    <xdr:ext cx="5019675" cy="29146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1001" sheet="SLA Data"/>
  </cacheSource>
  <cacheFields>
    <cacheField name="Ticket_ID" numFmtId="0">
      <sharedItems>
        <s v="TKT1000"/>
        <s v="TKT1001"/>
        <s v="TKT1002"/>
        <s v="TKT1003"/>
        <s v="TKT1004"/>
        <s v="TKT1005"/>
        <s v="TKT1006"/>
        <s v="TKT1007"/>
        <s v="TKT1008"/>
        <s v="TKT1009"/>
        <s v="TKT1010"/>
        <s v="TKT1011"/>
        <s v="TKT1012"/>
        <s v="TKT1013"/>
        <s v="TKT1014"/>
        <s v="TKT1015"/>
        <s v="TKT1016"/>
        <s v="TKT1017"/>
        <s v="TKT1018"/>
        <s v="TKT1019"/>
        <s v="TKT1020"/>
        <s v="TKT1021"/>
        <s v="TKT1022"/>
        <s v="TKT1023"/>
        <s v="TKT1024"/>
        <s v="TKT1025"/>
        <s v="TKT1026"/>
        <s v="TKT1027"/>
        <s v="TKT1028"/>
        <s v="TKT1029"/>
        <s v="TKT1030"/>
        <s v="TKT1031"/>
        <s v="TKT1032"/>
        <s v="TKT1033"/>
        <s v="TKT1034"/>
        <s v="TKT1035"/>
        <s v="TKT1036"/>
        <s v="TKT1037"/>
        <s v="TKT1038"/>
        <s v="TKT1039"/>
        <s v="TKT1040"/>
        <s v="TKT1041"/>
        <s v="TKT1042"/>
        <s v="TKT1043"/>
        <s v="TKT1044"/>
        <s v="TKT1045"/>
        <s v="TKT1046"/>
        <s v="TKT1047"/>
        <s v="TKT1048"/>
        <s v="TKT1049"/>
        <s v="TKT1050"/>
        <s v="TKT1051"/>
        <s v="TKT1052"/>
        <s v="TKT1053"/>
        <s v="TKT1054"/>
        <s v="TKT1055"/>
        <s v="TKT1056"/>
        <s v="TKT1057"/>
        <s v="TKT1058"/>
        <s v="TKT1059"/>
        <s v="TKT1060"/>
        <s v="TKT1061"/>
        <s v="TKT1062"/>
        <s v="TKT1063"/>
        <s v="TKT1064"/>
        <s v="TKT1065"/>
        <s v="TKT1066"/>
        <s v="TKT1067"/>
        <s v="TKT1068"/>
        <s v="TKT1069"/>
        <s v="TKT1070"/>
        <s v="TKT1071"/>
        <s v="TKT1072"/>
        <s v="TKT1073"/>
        <s v="TKT1074"/>
        <s v="TKT1075"/>
        <s v="TKT1076"/>
        <s v="TKT1077"/>
        <s v="TKT1078"/>
        <s v="TKT1079"/>
        <s v="TKT1080"/>
        <s v="TKT1081"/>
        <s v="TKT1082"/>
        <s v="TKT1083"/>
        <s v="TKT1084"/>
        <s v="TKT1085"/>
        <s v="TKT1086"/>
        <s v="TKT1087"/>
        <s v="TKT1088"/>
        <s v="TKT1089"/>
        <s v="TKT1090"/>
        <s v="TKT1091"/>
        <s v="TKT1092"/>
        <s v="TKT1093"/>
        <s v="TKT1094"/>
        <s v="TKT1095"/>
        <s v="TKT1096"/>
        <s v="TKT1097"/>
        <s v="TKT1098"/>
        <s v="TKT1099"/>
        <s v="TKT1100"/>
        <s v="TKT1101"/>
        <s v="TKT1102"/>
        <s v="TKT1103"/>
        <s v="TKT1104"/>
        <s v="TKT1105"/>
        <s v="TKT1106"/>
        <s v="TKT1107"/>
        <s v="TKT1108"/>
        <s v="TKT1109"/>
        <s v="TKT1110"/>
        <s v="TKT1111"/>
        <s v="TKT1112"/>
        <s v="TKT1113"/>
        <s v="TKT1114"/>
        <s v="TKT1115"/>
        <s v="TKT1116"/>
        <s v="TKT1117"/>
        <s v="TKT1118"/>
        <s v="TKT1119"/>
        <s v="TKT1120"/>
        <s v="TKT1121"/>
        <s v="TKT1122"/>
        <s v="TKT1123"/>
        <s v="TKT1124"/>
        <s v="TKT1125"/>
        <s v="TKT1126"/>
        <s v="TKT1127"/>
        <s v="TKT1128"/>
        <s v="TKT1129"/>
        <s v="TKT1130"/>
        <s v="TKT1131"/>
        <s v="TKT1132"/>
        <s v="TKT1133"/>
        <s v="TKT1134"/>
        <s v="TKT1135"/>
        <s v="TKT1136"/>
        <s v="TKT1137"/>
        <s v="TKT1138"/>
        <s v="TKT1139"/>
        <s v="TKT1140"/>
        <s v="TKT1141"/>
        <s v="TKT1142"/>
        <s v="TKT1143"/>
        <s v="TKT1144"/>
        <s v="TKT1145"/>
        <s v="TKT1146"/>
        <s v="TKT1147"/>
        <s v="TKT1148"/>
        <s v="TKT1149"/>
        <s v="TKT1150"/>
        <s v="TKT1151"/>
        <s v="TKT1152"/>
        <s v="TKT1153"/>
        <s v="TKT1154"/>
        <s v="TKT1155"/>
        <s v="TKT1156"/>
        <s v="TKT1157"/>
        <s v="TKT1158"/>
        <s v="TKT1159"/>
        <s v="TKT1160"/>
        <s v="TKT1161"/>
        <s v="TKT1162"/>
        <s v="TKT1163"/>
        <s v="TKT1164"/>
        <s v="TKT1165"/>
        <s v="TKT1166"/>
        <s v="TKT1167"/>
        <s v="TKT1168"/>
        <s v="TKT1169"/>
        <s v="TKT1170"/>
        <s v="TKT1171"/>
        <s v="TKT1172"/>
        <s v="TKT1173"/>
        <s v="TKT1174"/>
        <s v="TKT1175"/>
        <s v="TKT1176"/>
        <s v="TKT1177"/>
        <s v="TKT1178"/>
        <s v="TKT1179"/>
        <s v="TKT1180"/>
        <s v="TKT1181"/>
        <s v="TKT1182"/>
        <s v="TKT1183"/>
        <s v="TKT1184"/>
        <s v="TKT1185"/>
        <s v="TKT1186"/>
        <s v="TKT1187"/>
        <s v="TKT1188"/>
        <s v="TKT1189"/>
        <s v="TKT1190"/>
        <s v="TKT1191"/>
        <s v="TKT1192"/>
        <s v="TKT1193"/>
        <s v="TKT1194"/>
        <s v="TKT1195"/>
        <s v="TKT1196"/>
        <s v="TKT1197"/>
        <s v="TKT1198"/>
        <s v="TKT1199"/>
        <s v="TKT1200"/>
        <s v="TKT1201"/>
        <s v="TKT1202"/>
        <s v="TKT1203"/>
        <s v="TKT1204"/>
        <s v="TKT1205"/>
        <s v="TKT1206"/>
        <s v="TKT1207"/>
        <s v="TKT1208"/>
        <s v="TKT1209"/>
        <s v="TKT1210"/>
        <s v="TKT1211"/>
        <s v="TKT1212"/>
        <s v="TKT1213"/>
        <s v="TKT1214"/>
        <s v="TKT1215"/>
        <s v="TKT1216"/>
        <s v="TKT1217"/>
        <s v="TKT1218"/>
        <s v="TKT1219"/>
        <s v="TKT1220"/>
        <s v="TKT1221"/>
        <s v="TKT1222"/>
        <s v="TKT1223"/>
        <s v="TKT1224"/>
        <s v="TKT1225"/>
        <s v="TKT1226"/>
        <s v="TKT1227"/>
        <s v="TKT1228"/>
        <s v="TKT1229"/>
        <s v="TKT1230"/>
        <s v="TKT1231"/>
        <s v="TKT1232"/>
        <s v="TKT1233"/>
        <s v="TKT1234"/>
        <s v="TKT1235"/>
        <s v="TKT1236"/>
        <s v="TKT1237"/>
        <s v="TKT1238"/>
        <s v="TKT1239"/>
        <s v="TKT1240"/>
        <s v="TKT1241"/>
        <s v="TKT1242"/>
        <s v="TKT1243"/>
        <s v="TKT1244"/>
        <s v="TKT1245"/>
        <s v="TKT1246"/>
        <s v="TKT1247"/>
        <s v="TKT1248"/>
        <s v="TKT1249"/>
        <s v="TKT1250"/>
        <s v="TKT1251"/>
        <s v="TKT1252"/>
        <s v="TKT1253"/>
        <s v="TKT1254"/>
        <s v="TKT1255"/>
        <s v="TKT1256"/>
        <s v="TKT1257"/>
        <s v="TKT1258"/>
        <s v="TKT1259"/>
        <s v="TKT1260"/>
        <s v="TKT1261"/>
        <s v="TKT1262"/>
        <s v="TKT1263"/>
        <s v="TKT1264"/>
        <s v="TKT1265"/>
        <s v="TKT1266"/>
        <s v="TKT1267"/>
        <s v="TKT1268"/>
        <s v="TKT1269"/>
        <s v="TKT1270"/>
        <s v="TKT1271"/>
        <s v="TKT1272"/>
        <s v="TKT1273"/>
        <s v="TKT1274"/>
        <s v="TKT1275"/>
        <s v="TKT1276"/>
        <s v="TKT1277"/>
        <s v="TKT1278"/>
        <s v="TKT1279"/>
        <s v="TKT1280"/>
        <s v="TKT1281"/>
        <s v="TKT1282"/>
        <s v="TKT1283"/>
        <s v="TKT1284"/>
        <s v="TKT1285"/>
        <s v="TKT1286"/>
        <s v="TKT1287"/>
        <s v="TKT1288"/>
        <s v="TKT1289"/>
        <s v="TKT1290"/>
        <s v="TKT1291"/>
        <s v="TKT1292"/>
        <s v="TKT1293"/>
        <s v="TKT1294"/>
        <s v="TKT1295"/>
        <s v="TKT1296"/>
        <s v="TKT1297"/>
        <s v="TKT1298"/>
        <s v="TKT1299"/>
        <s v="TKT1300"/>
        <s v="TKT1301"/>
        <s v="TKT1302"/>
        <s v="TKT1303"/>
        <s v="TKT1304"/>
        <s v="TKT1305"/>
        <s v="TKT1306"/>
        <s v="TKT1307"/>
        <s v="TKT1308"/>
        <s v="TKT1309"/>
        <s v="TKT1310"/>
        <s v="TKT1311"/>
        <s v="TKT1312"/>
        <s v="TKT1313"/>
        <s v="TKT1314"/>
        <s v="TKT1315"/>
        <s v="TKT1316"/>
        <s v="TKT1317"/>
        <s v="TKT1318"/>
        <s v="TKT1319"/>
        <s v="TKT1320"/>
        <s v="TKT1321"/>
        <s v="TKT1322"/>
        <s v="TKT1323"/>
        <s v="TKT1324"/>
        <s v="TKT1325"/>
        <s v="TKT1326"/>
        <s v="TKT1327"/>
        <s v="TKT1328"/>
        <s v="TKT1329"/>
        <s v="TKT1330"/>
        <s v="TKT1331"/>
        <s v="TKT1332"/>
        <s v="TKT1333"/>
        <s v="TKT1334"/>
        <s v="TKT1335"/>
        <s v="TKT1336"/>
        <s v="TKT1337"/>
        <s v="TKT1338"/>
        <s v="TKT1339"/>
        <s v="TKT1340"/>
        <s v="TKT1341"/>
        <s v="TKT1342"/>
        <s v="TKT1343"/>
        <s v="TKT1344"/>
        <s v="TKT1345"/>
        <s v="TKT1346"/>
        <s v="TKT1347"/>
        <s v="TKT1348"/>
        <s v="TKT1349"/>
        <s v="TKT1350"/>
        <s v="TKT1351"/>
        <s v="TKT1352"/>
        <s v="TKT1353"/>
        <s v="TKT1354"/>
        <s v="TKT1355"/>
        <s v="TKT1356"/>
        <s v="TKT1357"/>
        <s v="TKT1358"/>
        <s v="TKT1359"/>
        <s v="TKT1360"/>
        <s v="TKT1361"/>
        <s v="TKT1362"/>
        <s v="TKT1363"/>
        <s v="TKT1364"/>
        <s v="TKT1365"/>
        <s v="TKT1366"/>
        <s v="TKT1367"/>
        <s v="TKT1368"/>
        <s v="TKT1369"/>
        <s v="TKT1370"/>
        <s v="TKT1371"/>
        <s v="TKT1372"/>
        <s v="TKT1373"/>
        <s v="TKT1374"/>
        <s v="TKT1375"/>
        <s v="TKT1376"/>
        <s v="TKT1377"/>
        <s v="TKT1378"/>
        <s v="TKT1379"/>
        <s v="TKT1380"/>
        <s v="TKT1381"/>
        <s v="TKT1382"/>
        <s v="TKT1383"/>
        <s v="TKT1384"/>
        <s v="TKT1385"/>
        <s v="TKT1386"/>
        <s v="TKT1387"/>
        <s v="TKT1388"/>
        <s v="TKT1389"/>
        <s v="TKT1390"/>
        <s v="TKT1391"/>
        <s v="TKT1392"/>
        <s v="TKT1393"/>
        <s v="TKT1394"/>
        <s v="TKT1395"/>
        <s v="TKT1396"/>
        <s v="TKT1397"/>
        <s v="TKT1398"/>
        <s v="TKT1399"/>
        <s v="TKT1400"/>
        <s v="TKT1401"/>
        <s v="TKT1402"/>
        <s v="TKT1403"/>
        <s v="TKT1404"/>
        <s v="TKT1405"/>
        <s v="TKT1406"/>
        <s v="TKT1407"/>
        <s v="TKT1408"/>
        <s v="TKT1409"/>
        <s v="TKT1410"/>
        <s v="TKT1411"/>
        <s v="TKT1412"/>
        <s v="TKT1413"/>
        <s v="TKT1414"/>
        <s v="TKT1415"/>
        <s v="TKT1416"/>
        <s v="TKT1417"/>
        <s v="TKT1418"/>
        <s v="TKT1419"/>
        <s v="TKT1420"/>
        <s v="TKT1421"/>
        <s v="TKT1422"/>
        <s v="TKT1423"/>
        <s v="TKT1424"/>
        <s v="TKT1425"/>
        <s v="TKT1426"/>
        <s v="TKT1427"/>
        <s v="TKT1428"/>
        <s v="TKT1429"/>
        <s v="TKT1430"/>
        <s v="TKT1431"/>
        <s v="TKT1432"/>
        <s v="TKT1433"/>
        <s v="TKT1434"/>
        <s v="TKT1435"/>
        <s v="TKT1436"/>
        <s v="TKT1437"/>
        <s v="TKT1438"/>
        <s v="TKT1439"/>
        <s v="TKT1440"/>
        <s v="TKT1441"/>
        <s v="TKT1442"/>
        <s v="TKT1443"/>
        <s v="TKT1444"/>
        <s v="TKT1445"/>
        <s v="TKT1446"/>
        <s v="TKT1447"/>
        <s v="TKT1448"/>
        <s v="TKT1449"/>
        <s v="TKT1450"/>
        <s v="TKT1451"/>
        <s v="TKT1452"/>
        <s v="TKT1453"/>
        <s v="TKT1454"/>
        <s v="TKT1455"/>
        <s v="TKT1456"/>
        <s v="TKT1457"/>
        <s v="TKT1458"/>
        <s v="TKT1459"/>
        <s v="TKT1460"/>
        <s v="TKT1461"/>
        <s v="TKT1462"/>
        <s v="TKT1463"/>
        <s v="TKT1464"/>
        <s v="TKT1465"/>
        <s v="TKT1466"/>
        <s v="TKT1467"/>
        <s v="TKT1468"/>
        <s v="TKT1469"/>
        <s v="TKT1470"/>
        <s v="TKT1471"/>
        <s v="TKT1472"/>
        <s v="TKT1473"/>
        <s v="TKT1474"/>
        <s v="TKT1475"/>
        <s v="TKT1476"/>
        <s v="TKT1477"/>
        <s v="TKT1478"/>
        <s v="TKT1479"/>
        <s v="TKT1480"/>
        <s v="TKT1481"/>
        <s v="TKT1482"/>
        <s v="TKT1483"/>
        <s v="TKT1484"/>
        <s v="TKT1485"/>
        <s v="TKT1486"/>
        <s v="TKT1487"/>
        <s v="TKT1488"/>
        <s v="TKT1489"/>
        <s v="TKT1490"/>
        <s v="TKT1491"/>
        <s v="TKT1492"/>
        <s v="TKT1493"/>
        <s v="TKT1494"/>
        <s v="TKT1495"/>
        <s v="TKT1496"/>
        <s v="TKT1497"/>
        <s v="TKT1498"/>
        <s v="TKT1499"/>
        <s v="TKT1500"/>
        <s v="TKT1501"/>
        <s v="TKT1502"/>
        <s v="TKT1503"/>
        <s v="TKT1504"/>
        <s v="TKT1505"/>
        <s v="TKT1506"/>
        <s v="TKT1507"/>
        <s v="TKT1508"/>
        <s v="TKT1509"/>
        <s v="TKT1510"/>
        <s v="TKT1511"/>
        <s v="TKT1512"/>
        <s v="TKT1513"/>
        <s v="TKT1514"/>
        <s v="TKT1515"/>
        <s v="TKT1516"/>
        <s v="TKT1517"/>
        <s v="TKT1518"/>
        <s v="TKT1519"/>
        <s v="TKT1520"/>
        <s v="TKT1521"/>
        <s v="TKT1522"/>
        <s v="TKT1523"/>
        <s v="TKT1524"/>
        <s v="TKT1525"/>
        <s v="TKT1526"/>
        <s v="TKT1527"/>
        <s v="TKT1528"/>
        <s v="TKT1529"/>
        <s v="TKT1530"/>
        <s v="TKT1531"/>
        <s v="TKT1532"/>
        <s v="TKT1533"/>
        <s v="TKT1534"/>
        <s v="TKT1535"/>
        <s v="TKT1536"/>
        <s v="TKT1537"/>
        <s v="TKT1538"/>
        <s v="TKT1539"/>
        <s v="TKT1540"/>
        <s v="TKT1541"/>
        <s v="TKT1542"/>
        <s v="TKT1543"/>
        <s v="TKT1544"/>
        <s v="TKT1545"/>
        <s v="TKT1546"/>
        <s v="TKT1547"/>
        <s v="TKT1548"/>
        <s v="TKT1549"/>
        <s v="TKT1550"/>
        <s v="TKT1551"/>
        <s v="TKT1552"/>
        <s v="TKT1553"/>
        <s v="TKT1554"/>
        <s v="TKT1555"/>
        <s v="TKT1556"/>
        <s v="TKT1557"/>
        <s v="TKT1558"/>
        <s v="TKT1559"/>
        <s v="TKT1560"/>
        <s v="TKT1561"/>
        <s v="TKT1562"/>
        <s v="TKT1563"/>
        <s v="TKT1564"/>
        <s v="TKT1565"/>
        <s v="TKT1566"/>
        <s v="TKT1567"/>
        <s v="TKT1568"/>
        <s v="TKT1569"/>
        <s v="TKT1570"/>
        <s v="TKT1571"/>
        <s v="TKT1572"/>
        <s v="TKT1573"/>
        <s v="TKT1574"/>
        <s v="TKT1575"/>
        <s v="TKT1576"/>
        <s v="TKT1577"/>
        <s v="TKT1578"/>
        <s v="TKT1579"/>
        <s v="TKT1580"/>
        <s v="TKT1581"/>
        <s v="TKT1582"/>
        <s v="TKT1583"/>
        <s v="TKT1584"/>
        <s v="TKT1585"/>
        <s v="TKT1586"/>
        <s v="TKT1587"/>
        <s v="TKT1588"/>
        <s v="TKT1589"/>
        <s v="TKT1590"/>
        <s v="TKT1591"/>
        <s v="TKT1592"/>
        <s v="TKT1593"/>
        <s v="TKT1594"/>
        <s v="TKT1595"/>
        <s v="TKT1596"/>
        <s v="TKT1597"/>
        <s v="TKT1598"/>
        <s v="TKT1599"/>
        <s v="TKT1600"/>
        <s v="TKT1601"/>
        <s v="TKT1602"/>
        <s v="TKT1603"/>
        <s v="TKT1604"/>
        <s v="TKT1605"/>
        <s v="TKT1606"/>
        <s v="TKT1607"/>
        <s v="TKT1608"/>
        <s v="TKT1609"/>
        <s v="TKT1610"/>
        <s v="TKT1611"/>
        <s v="TKT1612"/>
        <s v="TKT1613"/>
        <s v="TKT1614"/>
        <s v="TKT1615"/>
        <s v="TKT1616"/>
        <s v="TKT1617"/>
        <s v="TKT1618"/>
        <s v="TKT1619"/>
        <s v="TKT1620"/>
        <s v="TKT1621"/>
        <s v="TKT1622"/>
        <s v="TKT1623"/>
        <s v="TKT1624"/>
        <s v="TKT1625"/>
        <s v="TKT1626"/>
        <s v="TKT1627"/>
        <s v="TKT1628"/>
        <s v="TKT1629"/>
        <s v="TKT1630"/>
        <s v="TKT1631"/>
        <s v="TKT1632"/>
        <s v="TKT1633"/>
        <s v="TKT1634"/>
        <s v="TKT1635"/>
        <s v="TKT1636"/>
        <s v="TKT1637"/>
        <s v="TKT1638"/>
        <s v="TKT1639"/>
        <s v="TKT1640"/>
        <s v="TKT1641"/>
        <s v="TKT1642"/>
        <s v="TKT1643"/>
        <s v="TKT1644"/>
        <s v="TKT1645"/>
        <s v="TKT1646"/>
        <s v="TKT1647"/>
        <s v="TKT1648"/>
        <s v="TKT1649"/>
        <s v="TKT1650"/>
        <s v="TKT1651"/>
        <s v="TKT1652"/>
        <s v="TKT1653"/>
        <s v="TKT1654"/>
        <s v="TKT1655"/>
        <s v="TKT1656"/>
        <s v="TKT1657"/>
        <s v="TKT1658"/>
        <s v="TKT1659"/>
        <s v="TKT1660"/>
        <s v="TKT1661"/>
        <s v="TKT1662"/>
        <s v="TKT1663"/>
        <s v="TKT1664"/>
        <s v="TKT1665"/>
        <s v="TKT1666"/>
        <s v="TKT1667"/>
        <s v="TKT1668"/>
        <s v="TKT1669"/>
        <s v="TKT1670"/>
        <s v="TKT1671"/>
        <s v="TKT1672"/>
        <s v="TKT1673"/>
        <s v="TKT1674"/>
        <s v="TKT1675"/>
        <s v="TKT1676"/>
        <s v="TKT1677"/>
        <s v="TKT1678"/>
        <s v="TKT1679"/>
        <s v="TKT1680"/>
        <s v="TKT1681"/>
        <s v="TKT1682"/>
        <s v="TKT1683"/>
        <s v="TKT1684"/>
        <s v="TKT1685"/>
        <s v="TKT1686"/>
        <s v="TKT1687"/>
        <s v="TKT1688"/>
        <s v="TKT1689"/>
        <s v="TKT1690"/>
        <s v="TKT1691"/>
        <s v="TKT1692"/>
        <s v="TKT1693"/>
        <s v="TKT1694"/>
        <s v="TKT1695"/>
        <s v="TKT1696"/>
        <s v="TKT1697"/>
        <s v="TKT1698"/>
        <s v="TKT1699"/>
        <s v="TKT1700"/>
        <s v="TKT1701"/>
        <s v="TKT1702"/>
        <s v="TKT1703"/>
        <s v="TKT1704"/>
        <s v="TKT1705"/>
        <s v="TKT1706"/>
        <s v="TKT1707"/>
        <s v="TKT1708"/>
        <s v="TKT1709"/>
        <s v="TKT1710"/>
        <s v="TKT1711"/>
        <s v="TKT1712"/>
        <s v="TKT1713"/>
        <s v="TKT1714"/>
        <s v="TKT1715"/>
        <s v="TKT1716"/>
        <s v="TKT1717"/>
        <s v="TKT1718"/>
        <s v="TKT1719"/>
        <s v="TKT1720"/>
        <s v="TKT1721"/>
        <s v="TKT1722"/>
        <s v="TKT1723"/>
        <s v="TKT1724"/>
        <s v="TKT1725"/>
        <s v="TKT1726"/>
        <s v="TKT1727"/>
        <s v="TKT1728"/>
        <s v="TKT1729"/>
        <s v="TKT1730"/>
        <s v="TKT1731"/>
        <s v="TKT1732"/>
        <s v="TKT1733"/>
        <s v="TKT1734"/>
        <s v="TKT1735"/>
        <s v="TKT1736"/>
        <s v="TKT1737"/>
        <s v="TKT1738"/>
        <s v="TKT1739"/>
        <s v="TKT1740"/>
        <s v="TKT1741"/>
        <s v="TKT1742"/>
        <s v="TKT1743"/>
        <s v="TKT1744"/>
        <s v="TKT1745"/>
        <s v="TKT1746"/>
        <s v="TKT1747"/>
        <s v="TKT1748"/>
        <s v="TKT1749"/>
        <s v="TKT1750"/>
        <s v="TKT1751"/>
        <s v="TKT1752"/>
        <s v="TKT1753"/>
        <s v="TKT1754"/>
        <s v="TKT1755"/>
        <s v="TKT1756"/>
        <s v="TKT1757"/>
        <s v="TKT1758"/>
        <s v="TKT1759"/>
        <s v="TKT1760"/>
        <s v="TKT1761"/>
        <s v="TKT1762"/>
        <s v="TKT1763"/>
        <s v="TKT1764"/>
        <s v="TKT1765"/>
        <s v="TKT1766"/>
        <s v="TKT1767"/>
        <s v="TKT1768"/>
        <s v="TKT1769"/>
        <s v="TKT1770"/>
        <s v="TKT1771"/>
        <s v="TKT1772"/>
        <s v="TKT1773"/>
        <s v="TKT1774"/>
        <s v="TKT1775"/>
        <s v="TKT1776"/>
        <s v="TKT1777"/>
        <s v="TKT1778"/>
        <s v="TKT1779"/>
        <s v="TKT1780"/>
        <s v="TKT1781"/>
        <s v="TKT1782"/>
        <s v="TKT1783"/>
        <s v="TKT1784"/>
        <s v="TKT1785"/>
        <s v="TKT1786"/>
        <s v="TKT1787"/>
        <s v="TKT1788"/>
        <s v="TKT1789"/>
        <s v="TKT1790"/>
        <s v="TKT1791"/>
        <s v="TKT1792"/>
        <s v="TKT1793"/>
        <s v="TKT1794"/>
        <s v="TKT1795"/>
        <s v="TKT1796"/>
        <s v="TKT1797"/>
        <s v="TKT1798"/>
        <s v="TKT1799"/>
        <s v="TKT1800"/>
        <s v="TKT1801"/>
        <s v="TKT1802"/>
        <s v="TKT1803"/>
        <s v="TKT1804"/>
        <s v="TKT1805"/>
        <s v="TKT1806"/>
        <s v="TKT1807"/>
        <s v="TKT1808"/>
        <s v="TKT1809"/>
        <s v="TKT1810"/>
        <s v="TKT1811"/>
        <s v="TKT1812"/>
        <s v="TKT1813"/>
        <s v="TKT1814"/>
        <s v="TKT1815"/>
        <s v="TKT1816"/>
        <s v="TKT1817"/>
        <s v="TKT1818"/>
        <s v="TKT1819"/>
        <s v="TKT1820"/>
        <s v="TKT1821"/>
        <s v="TKT1822"/>
        <s v="TKT1823"/>
        <s v="TKT1824"/>
        <s v="TKT1825"/>
        <s v="TKT1826"/>
        <s v="TKT1827"/>
        <s v="TKT1828"/>
        <s v="TKT1829"/>
        <s v="TKT1830"/>
        <s v="TKT1831"/>
        <s v="TKT1832"/>
        <s v="TKT1833"/>
        <s v="TKT1834"/>
        <s v="TKT1835"/>
        <s v="TKT1836"/>
        <s v="TKT1837"/>
        <s v="TKT1838"/>
        <s v="TKT1839"/>
        <s v="TKT1840"/>
        <s v="TKT1841"/>
        <s v="TKT1842"/>
        <s v="TKT1843"/>
        <s v="TKT1844"/>
        <s v="TKT1845"/>
        <s v="TKT1846"/>
        <s v="TKT1847"/>
        <s v="TKT1848"/>
        <s v="TKT1849"/>
        <s v="TKT1850"/>
        <s v="TKT1851"/>
        <s v="TKT1852"/>
        <s v="TKT1853"/>
        <s v="TKT1854"/>
        <s v="TKT1855"/>
        <s v="TKT1856"/>
        <s v="TKT1857"/>
        <s v="TKT1858"/>
        <s v="TKT1859"/>
        <s v="TKT1860"/>
        <s v="TKT1861"/>
        <s v="TKT1862"/>
        <s v="TKT1863"/>
        <s v="TKT1864"/>
        <s v="TKT1865"/>
        <s v="TKT1866"/>
        <s v="TKT1867"/>
        <s v="TKT1868"/>
        <s v="TKT1869"/>
        <s v="TKT1870"/>
        <s v="TKT1871"/>
        <s v="TKT1872"/>
        <s v="TKT1873"/>
        <s v="TKT1874"/>
        <s v="TKT1875"/>
        <s v="TKT1876"/>
        <s v="TKT1877"/>
        <s v="TKT1878"/>
        <s v="TKT1879"/>
        <s v="TKT1880"/>
        <s v="TKT1881"/>
        <s v="TKT1882"/>
        <s v="TKT1883"/>
        <s v="TKT1884"/>
        <s v="TKT1885"/>
        <s v="TKT1886"/>
        <s v="TKT1887"/>
        <s v="TKT1888"/>
        <s v="TKT1889"/>
        <s v="TKT1890"/>
        <s v="TKT1891"/>
        <s v="TKT1892"/>
        <s v="TKT1893"/>
        <s v="TKT1894"/>
        <s v="TKT1895"/>
        <s v="TKT1896"/>
        <s v="TKT1897"/>
        <s v="TKT1898"/>
        <s v="TKT1899"/>
        <s v="TKT1900"/>
        <s v="TKT1901"/>
        <s v="TKT1902"/>
        <s v="TKT1903"/>
        <s v="TKT1904"/>
        <s v="TKT1905"/>
        <s v="TKT1906"/>
        <s v="TKT1907"/>
        <s v="TKT1908"/>
        <s v="TKT1909"/>
        <s v="TKT1910"/>
        <s v="TKT1911"/>
        <s v="TKT1912"/>
        <s v="TKT1913"/>
        <s v="TKT1914"/>
        <s v="TKT1915"/>
        <s v="TKT1916"/>
        <s v="TKT1917"/>
        <s v="TKT1918"/>
        <s v="TKT1919"/>
        <s v="TKT1920"/>
        <s v="TKT1921"/>
        <s v="TKT1922"/>
        <s v="TKT1923"/>
        <s v="TKT1924"/>
        <s v="TKT1925"/>
        <s v="TKT1926"/>
        <s v="TKT1927"/>
        <s v="TKT1928"/>
        <s v="TKT1929"/>
        <s v="TKT1930"/>
        <s v="TKT1931"/>
        <s v="TKT1932"/>
        <s v="TKT1933"/>
        <s v="TKT1934"/>
        <s v="TKT1935"/>
        <s v="TKT1936"/>
        <s v="TKT1937"/>
        <s v="TKT1938"/>
        <s v="TKT1939"/>
        <s v="TKT1940"/>
        <s v="TKT1941"/>
        <s v="TKT1942"/>
        <s v="TKT1943"/>
        <s v="TKT1944"/>
        <s v="TKT1945"/>
        <s v="TKT1946"/>
        <s v="TKT1947"/>
        <s v="TKT1948"/>
        <s v="TKT1949"/>
        <s v="TKT1950"/>
        <s v="TKT1951"/>
        <s v="TKT1952"/>
        <s v="TKT1953"/>
        <s v="TKT1954"/>
        <s v="TKT1955"/>
        <s v="TKT1956"/>
        <s v="TKT1957"/>
        <s v="TKT1958"/>
        <s v="TKT1959"/>
        <s v="TKT1960"/>
        <s v="TKT1961"/>
        <s v="TKT1962"/>
        <s v="TKT1963"/>
        <s v="TKT1964"/>
        <s v="TKT1965"/>
        <s v="TKT1966"/>
        <s v="TKT1967"/>
        <s v="TKT1968"/>
        <s v="TKT1969"/>
        <s v="TKT1970"/>
        <s v="TKT1971"/>
        <s v="TKT1972"/>
        <s v="TKT1973"/>
        <s v="TKT1974"/>
        <s v="TKT1975"/>
        <s v="TKT1976"/>
        <s v="TKT1977"/>
        <s v="TKT1978"/>
        <s v="TKT1979"/>
        <s v="TKT1980"/>
        <s v="TKT1981"/>
        <s v="TKT1982"/>
        <s v="TKT1983"/>
        <s v="TKT1984"/>
        <s v="TKT1985"/>
        <s v="TKT1986"/>
        <s v="TKT1987"/>
        <s v="TKT1988"/>
        <s v="TKT1989"/>
        <s v="TKT1990"/>
        <s v="TKT1991"/>
        <s v="TKT1992"/>
        <s v="TKT1993"/>
        <s v="TKT1994"/>
        <s v="TKT1995"/>
        <s v="TKT1996"/>
        <s v="TKT1997"/>
        <s v="TKT1998"/>
        <s v="TKT1999"/>
      </sharedItems>
    </cacheField>
    <cacheField name="Department" numFmtId="0">
      <sharedItems>
        <s v="Finance"/>
        <s v="Procurement"/>
        <s v="HR"/>
        <s v="Operations"/>
        <s v="IT"/>
      </sharedItems>
    </cacheField>
    <cacheField name="Priority" numFmtId="0">
      <sharedItems>
        <s v="Low"/>
        <s v="High"/>
        <s v="Medium"/>
      </sharedItems>
    </cacheField>
    <cacheField name="Created_Date_Time">
      <sharedItems containsDate="1" containsMixedTypes="1">
        <d v="2026-12-02T14:00:00Z"/>
        <d v="2026-09-01T05:00:00Z"/>
        <s v="16-02-2026 11:00"/>
        <d v="2026-01-02T06:00:00Z"/>
        <s v="25-02-2026 07:00"/>
        <s v="19-02-2026 23:00"/>
        <d v="2026-09-02T19:00:00Z"/>
        <d v="2026-09-02T15:00:00Z"/>
        <d v="2026-12-01T18:00:00Z"/>
        <d v="2026-07-03T13:00:00Z"/>
        <s v="26-01-2026 13:00"/>
        <d v="2026-02-02T18:00:00Z"/>
        <s v="16-03-2026 00:00"/>
        <s v="14-02-2026 19:00"/>
        <d v="2026-04-01T22:00:00Z"/>
        <s v="30-01-2026 15:00"/>
        <s v="14-03-2026 16:00"/>
        <d v="2026-10-01T19:00:00Z"/>
        <s v="23-01-2026 21:00"/>
        <d v="2026-11-02T07:00:00Z"/>
        <d v="2026-09-01T14:00:00Z"/>
        <d v="2026-05-02T19:00:00Z"/>
        <d v="2026-07-01T20:00:00Z"/>
        <s v="13-01-2026 09:00"/>
        <s v="14-02-2026 07:00"/>
        <d v="2026-01-03T15:00:00Z"/>
        <d v="2026-09-01T11:00:00Z"/>
        <s v="17-02-2026 17:00"/>
        <s v="28-01-2026 15:00"/>
        <d v="2026-01-01T12:00:00Z"/>
        <d v="2026-07-01T21:00:00Z"/>
        <s v="22-02-2026 23:00"/>
        <s v="24-03-2026 14:00"/>
        <d v="2026-01-03T10:00:00Z"/>
        <d v="2026-09-02T08:00:00Z"/>
        <d v="2026-06-02T18:00:00Z"/>
        <s v="24-01-2026 21:00"/>
        <d v="2026-03-01T16:00:00Z"/>
        <s v="18-03-2026 00:00"/>
        <s v="27-01-2026 06:00"/>
        <s v="28-02-2026 07:00"/>
        <s v="17-02-2026 18:00"/>
        <d v="2026-01-03T21:00:00Z"/>
        <s v="20-03-2026 03:00"/>
        <s v="18-02-2026 20:00"/>
        <s v="23-01-2026 22:00"/>
        <d v="2026-04-01T12:00:00Z"/>
        <s v="22-02-2026 21:00"/>
        <d v="2026-01-03T03:00:00Z"/>
        <s v="18-02-2026 17:00"/>
        <d v="2026-01-01T18:00:00Z"/>
        <s v="16-02-2026 01:00"/>
        <s v="23-02-2026 01:00"/>
        <d v="2026-11-02T08:00:00Z"/>
        <d v="2026-10-01T10:00:00Z"/>
        <s v="19-01-2026 02:00"/>
        <d v="2026-07-03T19:00:00Z"/>
        <d v="2026-04-02T00:00:00Z"/>
        <s v="14-03-2026 13:00"/>
        <s v="20-02-2026 00:00"/>
        <d v="2026-07-01T05:00:00Z"/>
        <s v="16-02-2026 08:00"/>
        <s v="23-02-2026 09:00"/>
        <s v="14-02-2026 21:00"/>
        <d v="2026-11-01T14:00:00Z"/>
        <d v="2026-11-02T22:00:00Z"/>
        <s v="18-02-2026 08:00"/>
        <d v="2026-04-01T11:00:00Z"/>
        <d v="2026-06-01T14:00:00Z"/>
        <s v="28-01-2026 05:00"/>
        <s v="16-03-2026 01:00"/>
        <s v="27-01-2026 02:00"/>
        <d v="2026-09-03T21:00:00Z"/>
        <d v="2026-07-02T09:00:00Z"/>
        <d v="2026-02-03T07:00:00Z"/>
        <s v="17-02-2026 03:00"/>
        <d v="2026-07-01T14:00:00Z"/>
        <d v="2026-02-02T04:00:00Z"/>
        <s v="25-01-2026 15:00"/>
        <s v="18-01-2026 02:00"/>
        <s v="22-01-2026 03:00"/>
        <s v="14-02-2026 10:00"/>
        <s v="17-02-2026 05:00"/>
        <d v="2026-07-02T12:00:00Z"/>
        <s v="14-02-2026 03:00"/>
        <d v="2026-07-02T18:00:00Z"/>
        <s v="16-03-2026 07:00"/>
        <s v="15-03-2026 07:00"/>
        <s v="19-03-2026 17:00"/>
        <s v="30-01-2026 06:00"/>
        <s v="18-01-2026 21:00"/>
        <d v="2026-12-02T17:00:00Z"/>
        <s v="14-01-2026 22:00"/>
        <s v="30-01-2026 19:00"/>
        <s v="15-01-2026 10:00"/>
        <s v="18-03-2026 01:00"/>
        <d v="2026-07-02T20:00:00Z"/>
        <s v="24-02-2026 10:00"/>
        <d v="2026-04-03T14:00:00Z"/>
        <s v="30-01-2026 08:00"/>
        <s v="13-02-2026 02:00"/>
        <d v="2026-09-01T12:00:00Z"/>
        <s v="26-01-2026 12:00"/>
        <s v="26-01-2026 11:00"/>
        <s v="17-03-2026 02:00"/>
        <s v="13-03-2026 23:00"/>
        <d v="2026-01-02T13:00:00Z"/>
        <s v="17-02-2026 04:00"/>
        <d v="2026-08-02T05:00:00Z"/>
        <s v="24-01-2026 08:00"/>
        <s v="23-03-2026 12:00"/>
        <s v="20-02-2026 06:00"/>
        <s v="13-02-2026 05:00"/>
        <s v="13-03-2026 16:00"/>
        <s v="13-01-2026 07:00"/>
        <d v="2026-05-02T01:00:00Z"/>
        <s v="25-01-2026 10:00"/>
        <s v="20-01-2026 03:00"/>
        <s v="14-01-2026 09:00"/>
        <d v="2026-02-02T09:00:00Z"/>
        <d v="2026-03-02T16:00:00Z"/>
        <s v="20-03-2026 22:00"/>
        <s v="19-01-2026 03:00"/>
        <d v="2026-04-03T01:00:00Z"/>
        <s v="30-01-2026 01:00"/>
        <s v="24-03-2026 01:00"/>
        <s v="29-01-2026 04:00"/>
        <d v="2026-08-01T06:00:00Z"/>
        <s v="27-02-2026 03:00"/>
        <s v="20-02-2026 09:00"/>
        <s v="15-01-2026 22:00"/>
        <s v="24-01-2026 02:00"/>
        <s v="15-02-2026 06:00"/>
        <s v="18-02-2026 21:00"/>
        <s v="16-01-2026 20:00"/>
        <s v="22-02-2026 22:00"/>
        <d v="2026-09-01T22:00:00Z"/>
        <s v="19-03-2026 07:00"/>
        <s v="13-01-2026 13:00"/>
        <d v="2026-11-03T19:00:00Z"/>
        <d v="2026-04-01T10:00:00Z"/>
        <s v="30-01-2026 16:00"/>
        <d v="2026-01-02T19:00:00Z"/>
        <d v="2026-03-03T03:00:00Z"/>
        <s v="28-01-2026 20:00"/>
        <s v="24-02-2026 15:00"/>
        <s v="14-01-2026 19:00"/>
        <s v="24-01-2026 07:00"/>
        <d v="2026-09-03T03:00:00Z"/>
        <d v="2026-07-03T04:00:00Z"/>
        <s v="22-03-2026 04:00"/>
        <s v="22-01-2026 23:00"/>
        <d v="2026-01-01T06:00:00Z"/>
        <s v="21-01-2026 23:00"/>
        <s v="18-03-2026 03:00"/>
        <s v="28-02-2026 06:00"/>
        <d v="2026-09-02T01:00:00Z"/>
        <s v="26-01-2026 00:00"/>
        <s v="13-02-2026 08:00"/>
        <s v="18-03-2026 14:00"/>
        <d v="2026-03-01T10:00:00Z"/>
        <s v="19-03-2026 13:00"/>
        <s v="20-03-2026 21:00"/>
        <d v="2026-09-03T05:00:00Z"/>
        <s v="17-03-2026 10:00"/>
        <s v="22-02-2026 08:00"/>
        <s v="23-03-2026 03:00"/>
        <s v="21-03-2026 08:00"/>
        <s v="17-01-2026 10:00"/>
        <d v="2026-08-02T12:00:00Z"/>
        <s v="15-02-2026 09:00"/>
        <d v="2026-12-02T11:00:00Z"/>
        <s v="26-01-2026 08:00"/>
        <s v="29-01-2026 00:00"/>
        <s v="16-02-2026 04:00"/>
        <d v="2026-02-02T14:00:00Z"/>
        <d v="2026-06-01T18:00:00Z"/>
        <s v="20-01-2026 02:00"/>
        <d v="2026-05-01T03:00:00Z"/>
        <s v="24-01-2026 11:00"/>
        <d v="2026-07-02T11:00:00Z"/>
        <s v="23-02-2026 12:00"/>
        <s v="21-03-2026 12:00"/>
        <s v="24-02-2026 22:00"/>
        <d v="2026-05-01T22:00:00Z"/>
        <d v="2026-10-03T15:00:00Z"/>
        <d v="2026-10-02T14:00:00Z"/>
        <s v="25-02-2026 04:00"/>
        <s v="21-01-2026 20:00"/>
        <s v="17-01-2026 15:00"/>
        <d v="2026-06-03T04:00:00Z"/>
        <s v="24-03-2026 02:00"/>
        <d v="2026-08-03T13:00:00Z"/>
        <s v="15-01-2026 00:00"/>
        <s v="22-01-2026 07:00"/>
        <d v="2026-08-03T16:00:00Z"/>
        <d v="2026-07-01T17:00:00Z"/>
        <d v="2026-02-01T05:00:00Z"/>
        <s v="21-01-2026 07:00"/>
        <s v="28-02-2026 05:00"/>
        <d v="2026-01-01T11:00:00Z"/>
        <d v="2026-10-01T11:00:00Z"/>
        <d v="2026-11-03T03:00:00Z"/>
        <d v="2026-04-02T18:00:00Z"/>
        <s v="13-03-2026 18:00"/>
        <d v="2026-04-02T03:00:00Z"/>
        <d v="2026-10-02T11:00:00Z"/>
        <s v="17-01-2026 19:00"/>
        <s v="28-01-2026 11:00"/>
        <d v="2026-12-01T11:00:00Z"/>
        <s v="19-01-2026 17:00"/>
        <s v="14-02-2026 01:00"/>
        <d v="2026-10-02T21:00:00Z"/>
        <d v="2026-08-01T17:00:00Z"/>
        <d v="2026-02-02T20:00:00Z"/>
        <d v="2026-10-01T05:00:00Z"/>
        <d v="2026-04-03T18:00:00Z"/>
        <d v="2026-02-02T17:00:00Z"/>
        <s v="15-01-2026 04:00"/>
        <s v="23-02-2026 14:00"/>
        <d v="2026-02-03T16:00:00Z"/>
        <d v="2026-03-03T20:00:00Z"/>
        <d v="2026-12-01T08:00:00Z"/>
        <s v="24-01-2026 12:00"/>
        <d v="2026-02-01T04:00:00Z"/>
        <s v="22-03-2026 09:00"/>
        <d v="2026-06-02T21:00:00Z"/>
        <s v="26-01-2026 04:00"/>
        <s v="30-01-2026 00:00"/>
        <s v="27-02-2026 04:00"/>
        <s v="18-03-2026 05:00"/>
        <s v="17-01-2026 17:00"/>
        <s v="20-03-2026 09:00"/>
        <d v="2026-10-01T04:00:00Z"/>
        <s v="16-01-2026 03:00"/>
        <s v="30-01-2026 02:00"/>
        <s v="19-03-2026 08:00"/>
        <s v="26-01-2026 07:00"/>
        <s v="13-02-2026 17:00"/>
        <d v="2026-05-01T15:00:00Z"/>
        <d v="2026-08-03T09:00:00Z"/>
        <d v="2026-05-01T04:00:00Z"/>
        <s v="15-01-2026 03:00"/>
        <d v="2026-06-03T05:00:00Z"/>
        <d v="2026-10-03T09:00:00Z"/>
        <s v="21-01-2026 16:00"/>
        <d v="2026-10-03T05:00:00Z"/>
        <d v="2026-05-02T05:00:00Z"/>
        <d v="2026-02-03T03:00:00Z"/>
        <s v="22-03-2026 07:00"/>
        <s v="15-02-2026 20:00"/>
        <s v="15-03-2026 15:00"/>
        <d v="2026-09-02T23:00:00Z"/>
        <s v="22-03-2026 15:00"/>
        <s v="20-01-2026 10:00"/>
        <s v="25-02-2026 11:00"/>
        <s v="21-02-2026 14:00"/>
        <d v="2026-06-01T21:00:00Z"/>
        <d v="2026-01-01T01:00:00Z"/>
        <d v="2026-04-03T03:00:00Z"/>
        <s v="26-02-2026 22:00"/>
        <s v="20-02-2026 08:00"/>
        <d v="2026-05-01T00:00:00Z"/>
        <d v="2026-03-02T09:00:00Z"/>
        <s v="31-01-2026 09:00"/>
        <s v="20-03-2026 14:00"/>
        <d v="2026-08-02T15:00:00Z"/>
        <d v="2026-11-02T17:00:00Z"/>
        <s v="16-01-2026 00:00"/>
        <d v="2026-05-03T00:00:00Z"/>
        <s v="27-01-2026 09:00"/>
        <d v="2026-05-03T03:00:00Z"/>
        <d v="2026-02-02T16:00:00Z"/>
        <d v="2026-09-03T17:00:00Z"/>
        <s v="22-01-2026 00:00"/>
        <s v="14-01-2026 16:00"/>
        <s v="23-01-2026 06:00"/>
        <d v="2026-03-03T12:00:00Z"/>
        <s v="29-01-2026 02:00"/>
        <d v="2026-08-01T02:00:00Z"/>
        <d v="2026-03-03T01:00:00Z"/>
        <s v="28-01-2026 14:00"/>
        <s v="22-03-2026 22:00"/>
        <s v="24-01-2026 05:00"/>
        <d v="2026-05-03T05:00:00Z"/>
        <d v="2026-07-01T01:00:00Z"/>
        <d v="2026-03-01T17:00:00Z"/>
        <d v="2026-01-03T06:00:00Z"/>
        <s v="21-02-2026 12:00"/>
        <d v="2026-06-01T10:00:00Z"/>
        <s v="13-02-2026 14:00"/>
        <d v="2026-02-02T06:00:00Z"/>
        <s v="13-01-2026 20:00"/>
        <d v="2026-08-02T07:00:00Z"/>
        <d v="2026-06-03T09:00:00Z"/>
        <d v="2026-12-01T22:00:00Z"/>
        <d v="2026-03-01T18:00:00Z"/>
        <s v="19-03-2026 14:00"/>
        <s v="25-01-2026 01:00"/>
        <d v="2026-08-03T04:00:00Z"/>
        <s v="23-01-2026 04:00"/>
        <s v="24-02-2026 01:00"/>
        <s v="28-01-2026 07:00"/>
        <s v="21-03-2026 07:00"/>
        <s v="23-01-2026 02:00"/>
        <s v="24-02-2026 02:00"/>
        <d v="2026-11-02T16:00:00Z"/>
        <s v="18-02-2026 12:00"/>
        <s v="22-02-2026 20:00"/>
        <d v="2026-02-01T11:00:00Z"/>
        <d v="2026-11-01T03:00:00Z"/>
        <d v="2026-08-01T20:00:00Z"/>
        <s v="14-02-2026 18:00"/>
        <s v="17-01-2026 20:00"/>
        <s v="20-01-2026 11:00"/>
        <d v="2026-05-02T23:00:00Z"/>
        <s v="18-03-2026 19:00"/>
        <s v="23-03-2026 22:00"/>
        <d v="2026-07-02T07:00:00Z"/>
        <s v="29-01-2026 03:00"/>
        <d v="2026-01-02T15:00:00Z"/>
        <s v="20-02-2026 05:00"/>
        <s v="17-03-2026 08:00"/>
        <s v="26-02-2026 19:00"/>
        <s v="25-02-2026 10:00"/>
        <s v="25-02-2026 09:00"/>
        <d v="2026-02-03T01:00:00Z"/>
        <d v="2026-11-03T09:00:00Z"/>
        <d v="2026-07-03T05:00:00Z"/>
        <s v="17-02-2026 15:00"/>
        <d v="2026-01-03T05:00:00Z"/>
        <s v="21-03-2026 22:00"/>
        <s v="30-01-2026 04:00"/>
        <d v="2026-11-02T12:00:00Z"/>
        <d v="2026-12-02T22:00:00Z"/>
        <d v="2026-03-03T00:00:00Z"/>
        <s v="27-01-2026 00:00"/>
        <d v="2026-12-01T09:00:00Z"/>
        <s v="25-01-2026 19:00"/>
        <d v="2026-10-03T02:00:00Z"/>
        <d v="2026-04-01T09:00:00Z"/>
        <s v="18-02-2026 15:00"/>
        <d v="2026-12-02T01:00:00Z"/>
        <s v="19-03-2026 12:00"/>
        <s v="19-03-2026 04:00"/>
        <s v="23-01-2026 17:00"/>
        <s v="21-02-2026 23:00"/>
        <d v="2026-08-01T23:00:00Z"/>
        <s v="18-02-2026 23:00"/>
        <d v="2026-07-01T09:00:00Z"/>
        <d v="2026-05-02T22:00:00Z"/>
        <d v="2026-12-01T04:00:00Z"/>
        <s v="26-02-2026 16:00"/>
        <s v="16-02-2026 21:00"/>
        <s v="21-03-2026 20:00"/>
        <s v="16-01-2026 05:00"/>
        <s v="18-03-2026 06:00"/>
        <d v="2026-09-02T00:00:00Z"/>
        <s v="25-01-2026 00:00"/>
        <s v="19-01-2026 08:00"/>
        <s v="17-02-2026 16:00"/>
        <s v="13-03-2026 03:00"/>
        <d v="2026-02-01T12:00:00Z"/>
        <s v="18-03-2026 16:00"/>
        <s v="26-02-2026 11:00"/>
        <s v="23-03-2026 13:00"/>
        <d v="2026-10-03T11:00:00Z"/>
        <s v="20-02-2026 20:00"/>
        <s v="20-03-2026 02:00"/>
        <s v="29-01-2026 21:00"/>
        <s v="13-03-2026 00:00"/>
        <d v="2026-10-02T15:00:00Z"/>
        <s v="27-02-2026 05:00"/>
        <s v="19-03-2026 20:00"/>
        <s v="24-01-2026 13:00"/>
        <s v="23-01-2026 11:00"/>
        <d v="2026-12-03T16:00:00Z"/>
        <d v="2026-01-03T07:00:00Z"/>
        <s v="14-03-2026 08:00"/>
        <s v="25-02-2026 21:00"/>
        <s v="20-02-2026 17:00"/>
        <d v="2026-12-02T00:00:00Z"/>
        <d v="2026-08-03T20:00:00Z"/>
        <d v="2026-02-02T07:00:00Z"/>
        <d v="2026-03-03T07:00:00Z"/>
        <d v="2026-06-02T23:00:00Z"/>
        <s v="13-02-2026 07:00"/>
        <d v="2026-08-03T21:00:00Z"/>
        <s v="31-01-2026 08:00"/>
        <d v="2026-03-03T04:00:00Z"/>
        <s v="16-02-2026 12:00"/>
        <s v="14-02-2026 16:00"/>
        <d v="2026-12-03T13:00:00Z"/>
        <s v="23-01-2026 16:00"/>
        <d v="2026-04-01T14:00:00Z"/>
        <d v="2026-10-03T10:00:00Z"/>
        <s v="22-03-2026 19:00"/>
        <d v="2026-12-01T03:00:00Z"/>
        <s v="21-01-2026 05:00"/>
        <d v="2026-10-01T01:00:00Z"/>
        <s v="28-02-2026 01:00"/>
        <d v="2026-11-03T23:00:00Z"/>
        <s v="23-01-2026 23:00"/>
        <s v="16-02-2026 23:00"/>
        <d v="2026-09-01T04:00:00Z"/>
        <d v="2026-03-01T19:00:00Z"/>
        <d v="2026-01-02T12:00:00Z"/>
        <s v="16-02-2026 02:00"/>
        <d v="2026-03-02T20:00:00Z"/>
        <d v="2026-11-02T14:00:00Z"/>
        <s v="23-02-2026 02:00"/>
        <d v="2026-11-01T21:00:00Z"/>
        <d v="2026-10-01T02:00:00Z"/>
        <s v="18-01-2026 08:00"/>
        <d v="2026-07-03T10:00:00Z"/>
        <d v="2026-04-01T20:00:00Z"/>
        <d v="2026-02-03T04:00:00Z"/>
        <d v="2026-07-01T10:00:00Z"/>
        <s v="18-01-2026 12:00"/>
        <s v="15-02-2026 08:00"/>
        <d v="2026-10-03T13:00:00Z"/>
        <d v="2026-05-02T06:00:00Z"/>
        <d v="2026-10-01T23:00:00Z"/>
        <d v="2026-12-01T14:00:00Z"/>
        <d v="2026-08-03T22:00:00Z"/>
        <d v="2026-05-01T18:00:00Z"/>
        <s v="22-01-2026 02:00"/>
        <d v="2026-07-02T13:00:00Z"/>
        <s v="16-03-2026 13:00"/>
        <s v="16-01-2026 01:00"/>
        <s v="22-02-2026 04:00"/>
        <d v="2026-10-03T20:00:00Z"/>
        <s v="22-02-2026 05:00"/>
        <s v="22-01-2026 21:00"/>
        <d v="2026-04-03T12:00:00Z"/>
        <s v="17-01-2026 11:00"/>
        <s v="22-03-2026 06:00"/>
        <d v="2026-04-03T10:00:00Z"/>
        <s v="23-02-2026 05:00"/>
        <s v="27-02-2026 09:00"/>
        <s v="19-03-2026 09:00"/>
        <d v="2026-11-02T01:00:00Z"/>
        <s v="17-03-2026 11:00"/>
        <s v="27-01-2026 08:00"/>
        <s v="31-01-2026 21:00"/>
        <s v="27-02-2026 06:00"/>
        <d v="2026-06-02T06:00:00Z"/>
        <s v="19-01-2026 00:00"/>
        <s v="13-02-2026 12:00"/>
        <d v="2026-01-01T17:00:00Z"/>
        <s v="15-02-2026 01:00"/>
        <s v="18-01-2026 03:00"/>
        <s v="18-02-2026 05:00"/>
        <s v="24-03-2026 20:00"/>
        <s v="23-01-2026 13:00"/>
        <s v="14-03-2026 03:00"/>
        <d v="2026-03-03T15:00:00Z"/>
        <d v="2026-10-01T07:00:00Z"/>
        <d v="2026-03-02T08:00:00Z"/>
        <d v="2026-10-03T23:00:00Z"/>
        <d v="2026-01-03T02:00:00Z"/>
        <s v="19-03-2026 06:00"/>
        <s v="22-03-2026 16:00"/>
        <s v="21-02-2026 03:00"/>
        <s v="21-03-2026 09:00"/>
        <d v="2026-01-02T17:00:00Z"/>
        <s v="21-02-2026 08:00"/>
        <d v="2026-05-03T08:00:00Z"/>
        <s v="24-01-2026 14:00"/>
        <s v="20-02-2026 13:00"/>
        <d v="2026-06-02T08:00:00Z"/>
        <d v="2026-10-01T21:00:00Z"/>
        <s v="26-01-2026 21:00"/>
        <s v="15-03-2026 12:00"/>
        <d v="2026-07-03T02:00:00Z"/>
        <s v="31-01-2026 15:00"/>
        <d v="2026-02-01T08:00:00Z"/>
        <s v="25-01-2026 08:00"/>
        <s v="19-02-2026 04:00"/>
        <s v="13-01-2026 03:00"/>
        <d v="2026-10-02T18:00:00Z"/>
        <d v="2026-04-02T11:00:00Z"/>
        <d v="2026-09-01T09:00:00Z"/>
        <s v="22-02-2026 12:00"/>
        <d v="2026-12-02T20:00:00Z"/>
        <d v="2026-06-02T13:00:00Z"/>
        <d v="2026-01-03T16:00:00Z"/>
        <s v="13-02-2026 06:00"/>
        <s v="14-03-2026 10:00"/>
        <s v="14-03-2026 21:00"/>
        <d v="2026-03-03T18:00:00Z"/>
        <d v="2026-02-03T06:00:00Z"/>
        <d v="2026-07-03T22:00:00Z"/>
        <s v="20-01-2026 08:00"/>
        <d v="2026-08-02T19:00:00Z"/>
        <d v="2026-11-01T23:00:00Z"/>
        <d v="2026-06-02T07:00:00Z"/>
        <s v="19-01-2026 20:00"/>
        <d v="2026-10-01T09:00:00Z"/>
        <s v="27-01-2026 15:00"/>
        <d v="2026-10-01T22:00:00Z"/>
        <s v="17-02-2026 08:00"/>
        <s v="21-02-2026 15:00"/>
        <s v="22-03-2026 13:00"/>
        <d v="2026-05-02T09:00:00Z"/>
        <s v="14-03-2026 17:00"/>
        <s v="15-01-2026 18:00"/>
        <s v="14-01-2026 15:00"/>
        <d v="2026-01-01T14:00:00Z"/>
        <s v="30-01-2026 03:00"/>
        <s v="16-02-2026 05:00"/>
        <d v="2026-09-01T23:00:00Z"/>
        <s v="16-03-2026 05:00"/>
        <s v="13-02-2026 11:00"/>
        <d v="2026-05-01T17:00:00Z"/>
        <s v="17-01-2026 03:00"/>
        <d v="2026-07-03T20:00:00Z"/>
        <d v="2026-05-01T21:00:00Z"/>
        <s v="28-01-2026 17:00"/>
        <d v="2026-01-03T13:00:00Z"/>
        <s v="18-01-2026 16:00"/>
        <s v="23-02-2026 17:00"/>
        <s v="19-02-2026 01:00"/>
        <s v="19-03-2026 10:00"/>
        <s v="24-02-2026 19:00"/>
        <d v="2026-06-01T02:00:00Z"/>
        <s v="28-02-2026 23:00"/>
        <d v="2026-11-02T21:00:00Z"/>
        <s v="25-03-2026 03:00"/>
        <s v="18-01-2026 11:00"/>
        <s v="20-01-2026 12:00"/>
        <s v="23-02-2026 16:00"/>
        <d v="2026-01-02T22:00:00Z"/>
        <d v="2026-01-01T13:00:00Z"/>
        <s v="22-03-2026 21:00"/>
        <d v="2026-02-02T08:00:00Z"/>
        <s v="22-03-2026 17:00"/>
        <s v="27-02-2026 13:00"/>
        <d v="2026-09-02T20:00:00Z"/>
        <s v="19-02-2026 07:00"/>
        <d v="2026-04-02T13:00:00Z"/>
        <s v="18-02-2026 11:00"/>
        <s v="21-01-2026 12:00"/>
        <d v="2026-05-02T04:00:00Z"/>
        <d v="2026-06-03T14:00:00Z"/>
        <s v="20-02-2026 16:00"/>
        <s v="23-02-2026 07:00"/>
        <d v="2026-09-03T14:00:00Z"/>
        <s v="24-03-2026 05:00"/>
        <s v="28-02-2026 20:00"/>
        <s v="28-01-2026 21:00"/>
        <s v="18-01-2026 17:00"/>
        <d v="2026-09-02T09:00:00Z"/>
        <s v="13-01-2026 12:00"/>
        <s v="16-01-2026 06:00"/>
        <d v="2026-12-03T19:00:00Z"/>
        <d v="2026-01-02T00:00:00Z"/>
        <s v="20-03-2026 15:00"/>
        <s v="19-03-2026 21:00"/>
        <d v="2026-12-03T11:00:00Z"/>
        <d v="2026-08-02T06:00:00Z"/>
        <d v="2026-08-03T15:00:00Z"/>
        <s v="28-01-2026 08:00"/>
        <s v="13-01-2026 17:00"/>
        <d v="2026-06-03T19:00:00Z"/>
        <s v="25-02-2026 00:00"/>
        <s v="24-01-2026 10:00"/>
        <d v="2026-06-03T22:00:00Z"/>
        <s v="24-03-2026 12:00"/>
        <s v="14-02-2026 20:00"/>
        <s v="13-02-2026 19:00"/>
        <d v="2026-09-01T15:00:00Z"/>
        <d v="2026-07-03T11:00:00Z"/>
        <s v="23-03-2026 04:00"/>
        <d v="2026-05-03T15:00:00Z"/>
        <d v="2026-06-01T03:00:00Z"/>
        <d v="2026-11-01T19:00:00Z"/>
        <s v="15-03-2026 08:00"/>
        <s v="18-03-2026 17:00"/>
        <s v="23-01-2026 12:00"/>
        <d v="2026-02-03T23:00:00Z"/>
        <d v="2026-05-03T01:00:00Z"/>
        <s v="17-03-2026 20:00"/>
        <s v="23-03-2026 23:00"/>
        <s v="31-01-2026 14:00"/>
        <d v="2026-01-02T20:00:00Z"/>
        <s v="16-02-2026 00:00"/>
        <s v="13-01-2026 00:00"/>
        <d v="2026-01-02T05:00:00Z"/>
        <d v="2026-05-01T19:00:00Z"/>
        <s v="16-03-2026 10:00"/>
        <d v="2026-08-01T21:00:00Z"/>
        <s v="16-01-2026 23:00"/>
        <s v="20-02-2026 21:00"/>
        <s v="17-02-2026 14:00"/>
        <d v="2026-03-01T21:00:00Z"/>
        <d v="2026-07-01T07:00:00Z"/>
        <s v="14-03-2026 12:00"/>
        <s v="28-02-2026 10:00"/>
        <s v="22-02-2026 06:00"/>
        <d v="2026-03-03T11:00:00Z"/>
        <s v="28-02-2026 17:00"/>
        <d v="2026-09-03T22:00:00Z"/>
        <d v="2026-01-01T03:00:00Z"/>
        <s v="21-03-2026 03:00"/>
        <s v="20-03-2026 12:00"/>
        <s v="28-02-2026 15:00"/>
        <d v="2026-07-01T08:00:00Z"/>
        <s v="22-01-2026 16:00"/>
        <d v="2026-03-02T12:00:00Z"/>
        <s v="20-03-2026 19:00"/>
        <d v="2026-04-02T16:00:00Z"/>
        <s v="19-01-2026 10:00"/>
        <s v="13-03-2026 21:00"/>
        <s v="22-02-2026 11:00"/>
        <s v="28-02-2026 00:00"/>
        <s v="28-01-2026 03:00"/>
        <d v="2026-04-02T12:00:00Z"/>
        <d v="2026-01-03T18:00:00Z"/>
        <d v="2026-08-01T00:00:00Z"/>
        <d v="2026-06-01T16:00:00Z"/>
        <s v="13-02-2026 09:00"/>
        <s v="17-03-2026 07:00"/>
        <s v="21-02-2026 05:00"/>
        <s v="29-01-2026 07:00"/>
        <d v="2026-04-01T15:00:00Z"/>
        <s v="18-01-2026 06:00"/>
        <s v="16-01-2026 04:00"/>
        <d v="2026-05-03T04:00:00Z"/>
        <d v="2026-10-02T07:00:00Z"/>
        <d v="2026-10-03T22:00:00Z"/>
        <s v="23-03-2026 10:00"/>
        <d v="2026-02-01T23:00:00Z"/>
        <s v="28-01-2026 23:00"/>
        <d v="2026-01-01T21:00:00Z"/>
        <d v="2026-10-03T17:00:00Z"/>
        <s v="18-01-2026 01:00"/>
        <d v="2026-10-01T06:00:00Z"/>
        <s v="29-01-2026 13:00"/>
        <d v="2026-09-03T16:00:00Z"/>
        <d v="2026-05-02T07:00:00Z"/>
        <s v="15-03-2026 23:00"/>
        <d v="2026-01-03T08:00:00Z"/>
        <s v="18-03-2026 12:00"/>
        <d v="2026-02-01T07:00:00Z"/>
        <d v="2026-10-02T12:00:00Z"/>
        <s v="21-03-2026 17:00"/>
        <s v="16-03-2026 14:00"/>
        <d v="2026-11-03T15:00:00Z"/>
        <s v="19-01-2026 12:00"/>
        <s v="25-02-2026 19:00"/>
        <s v="19-02-2026 12:00"/>
        <s v="21-02-2026 06:00"/>
        <s v="19-03-2026 02:00"/>
        <s v="15-02-2026 22:00"/>
        <s v="28-02-2026 03:00"/>
        <d v="2026-06-02T00:00:00Z"/>
        <s v="15-01-2026 21:00"/>
        <d v="2026-11-01T13:00:00Z"/>
        <d v="2026-11-03T20:00:00Z"/>
        <s v="17-01-2026 08:00"/>
        <d v="2026-10-02T16:00:00Z"/>
        <s v="24-03-2026 03:00"/>
        <d v="2026-01-03T00:00:00Z"/>
        <s v="14-03-2026 04:00"/>
        <d v="2026-11-01T08:00:00Z"/>
        <s v="29-01-2026 22:00"/>
        <s v="14-02-2026 05:00"/>
        <d v="2026-07-02T23:00:00Z"/>
        <s v="13-02-2026 22:00"/>
        <s v="16-01-2026 16:00"/>
        <d v="2026-08-01T14:00:00Z"/>
        <d v="2026-01-02T16:00:00Z"/>
        <d v="2026-09-03T01:00:00Z"/>
        <s v="26-02-2026 13:00"/>
        <s v="21-03-2026 04:00"/>
        <d v="2026-11-02T23:00:00Z"/>
        <s v="27-01-2026 03:00"/>
        <s v="15-02-2026 19:00"/>
        <d v="2026-11-01T05:00:00Z"/>
        <s v="27-02-2026 22:00"/>
        <s v="20-01-2026 15:00"/>
        <d v="2026-11-01T17:00:00Z"/>
        <s v="24-03-2026 07:00"/>
        <s v="14-01-2026 20:00"/>
        <s v="29-01-2026 16:00"/>
        <s v="23-03-2026 20:00"/>
        <s v="24-01-2026 17:00"/>
        <s v="28-02-2026 16:00"/>
        <s v="17-01-2026 13:00"/>
        <d v="2026-04-02T21:00:00Z"/>
        <d v="2026-08-03T00:00:00Z"/>
        <s v="25-02-2026 14:00"/>
        <d v="2026-03-01T14:00:00Z"/>
        <s v="24-02-2026 06:00"/>
        <d v="2026-07-03T00:00:00Z"/>
        <d v="2026-08-03T18:00:00Z"/>
        <s v="25-02-2026 18:00"/>
        <s v="15-03-2026 05:00"/>
        <d v="2026-01-03T17:00:00Z"/>
        <d v="2026-10-01T17:00:00Z"/>
        <s v="21-01-2026 18:00"/>
        <s v="25-02-2026 17:00"/>
        <s v="20-02-2026 03:00"/>
        <d v="2026-09-03T00:00:00Z"/>
        <s v="24-02-2026 07:00"/>
        <d v="2026-12-01T23:00:00Z"/>
        <d v="2026-12-01T12:00:00Z"/>
        <d v="2026-03-01T20:00:00Z"/>
        <d v="2026-11-02T03:00:00Z"/>
        <s v="16-02-2026 09:00"/>
        <s v="22-01-2026 01:00"/>
        <d v="2026-02-03T13:00:00Z"/>
        <d v="2026-01-01T19:00:00Z"/>
        <s v="24-03-2026 21:00"/>
        <d v="2026-04-02T09:00:00Z"/>
        <s v="15-02-2026 07:00"/>
        <d v="2026-01-02T21:00:00Z"/>
        <d v="2026-05-01T05:00:00Z"/>
        <s v="21-01-2026 10:00"/>
        <d v="2026-05-03T11:00:00Z"/>
        <d v="2026-12-02T23:00:00Z"/>
        <s v="19-03-2026 03:00"/>
        <s v="18-01-2026 13:00"/>
        <s v="29-01-2026 23:00"/>
        <s v="15-03-2026 03:00"/>
        <s v="19-02-2026 22:00"/>
        <d v="2026-10-01T08:00:00Z"/>
        <d v="2026-03-01T01:00:00Z"/>
        <d v="2026-07-01T22:00:00Z"/>
        <d v="2026-05-01T12:00:00Z"/>
        <s v="17-03-2026 14:00"/>
        <d v="2026-08-02T16:00:00Z"/>
        <s v="18-01-2026 19:00"/>
        <d v="2026-08-01T18:00:00Z"/>
        <s v="16-03-2026 23:00"/>
        <d v="2026-05-02T14:00:00Z"/>
        <d v="2026-11-03T22:00:00Z"/>
        <d v="2026-02-02T00:00:00Z"/>
        <s v="23-03-2026 01:00"/>
        <s v="21-01-2026 17:00"/>
        <s v="22-03-2026 00:00"/>
        <d v="2026-04-02T01:00:00Z"/>
        <s v="28-02-2026 11:00"/>
        <s v="16-02-2026 07:00"/>
        <d v="2026-05-03T09:00:00Z"/>
        <s v="14-01-2026 13:00"/>
        <d v="2026-12-03T20:00:00Z"/>
        <d v="2026-01-02T09:00:00Z"/>
        <d v="2026-10-03T21:00:00Z"/>
        <s v="23-01-2026 05:00"/>
        <s v="14-02-2026 06:00"/>
        <s v="16-01-2026 19:00"/>
        <s v="26-02-2026 14:00"/>
        <s v="27-01-2026 17:00"/>
        <s v="16-01-2026 09:00"/>
        <d v="2026-11-03T05:00:00Z"/>
        <s v="15-03-2026 04:00"/>
        <d v="2026-03-02T18:00:00Z"/>
        <d v="2026-10-03T18:00:00Z"/>
        <d v="2026-08-02T18:00:00Z"/>
        <s v="15-01-2026 12:00"/>
        <d v="2026-10-02T09:00:00Z"/>
        <s v="21-01-2026 22:00"/>
        <s v="16-02-2026 19:00"/>
        <s v="17-02-2026 21:00"/>
        <d v="2026-02-02T02:00:00Z"/>
        <d v="2026-04-03T17:00:00Z"/>
        <d v="2026-12-03T18:00:00Z"/>
        <d v="2026-12-02T03:00:00Z"/>
        <d v="2026-11-02T00:00:00Z"/>
        <d v="2026-07-02T17:00:00Z"/>
        <d v="2026-12-02T16:00:00Z"/>
        <d v="2026-04-03T04:00:00Z"/>
        <d v="2026-01-01T02:00:00Z"/>
        <s v="16-01-2026 21:00"/>
        <d v="2026-05-02T21:00:00Z"/>
        <s v="25-02-2026 15:00"/>
        <d v="2026-01-02T23:00:00Z"/>
        <s v="27-02-2026 07:00"/>
        <s v="15-01-2026 20:00"/>
        <s v="18-01-2026 23:00"/>
        <s v="23-02-2026 20:00"/>
        <s v="28-02-2026 08:00"/>
        <s v="13-01-2026 22:00"/>
        <d v="2026-03-02T06:00:00Z"/>
        <s v="26-02-2026 09:00"/>
        <d v="2026-04-02T19:00:00Z"/>
        <d v="2026-03-01T22:00:00Z"/>
      </sharedItems>
    </cacheField>
    <cacheField name="Resolved_Date_Time">
      <sharedItems containsDate="1" containsMixedTypes="1">
        <s v="16-02-2026 01:00"/>
        <d v="2026-11-01T04:00:00Z"/>
        <s v="17-02-2026 15:00"/>
        <d v="2026-03-02T19:00:00Z"/>
        <s v="28-02-2026 02:00"/>
        <s v="23-02-2026 13:00"/>
        <s v="13-02-2026 13:00"/>
        <d v="2026-12-02T00:00:00Z"/>
        <s v="15-01-2026 10:00"/>
        <d v="2026-09-03T00:00:00Z"/>
        <s v="28-01-2026 04:00"/>
        <d v="2026-04-02T09:00:00Z"/>
        <s v="18-03-2026 05:00"/>
        <s v="17-02-2026 17:00"/>
        <d v="2026-07-01T06:00:00Z"/>
        <s v="31-01-2026 07:00"/>
        <s v="16-03-2026 19:00"/>
        <s v="13-01-2026 05:00"/>
        <s v="24-01-2026 18:00"/>
        <d v="2026-12-02T16:00:00Z"/>
        <s v="13-01-2026 14:00"/>
        <d v="2026-09-02T06:00:00Z"/>
        <d v="2026-11-01T11:00:00Z"/>
        <s v="15-01-2026 01:00"/>
        <s v="16-02-2026 16:00"/>
        <d v="2026-04-03T11:00:00Z"/>
        <d v="2026-11-01T15:00:00Z"/>
        <s v="20-02-2026 20:00"/>
        <d v="2026-01-02T13:00:00Z"/>
        <d v="2026-05-01T05:00:00Z"/>
        <d v="2026-09-01T07:00:00Z"/>
        <s v="26-02-2026 23:00"/>
        <s v="27-03-2026 23:00"/>
        <d v="2026-03-03T05:00:00Z"/>
        <d v="2026-11-02T21:00:00Z"/>
        <d v="2026-07-02T23:00:00Z"/>
        <s v="28-01-2026 11:00"/>
        <d v="2026-05-01T00:00:00Z"/>
        <s v="18-03-2026 23:00"/>
        <s v="30-01-2026 06:00"/>
        <d v="2026-01-03T07:00:00Z"/>
        <s v="21-02-2026 18:00"/>
        <d v="2026-03-03T17:00:00Z"/>
        <s v="21-03-2026 08:00"/>
        <s v="22-02-2026 10:00"/>
        <s v="27-01-2026 04:00"/>
        <d v="2026-05-01T07:00:00Z"/>
        <s v="24-02-2026 16:00"/>
        <d v="2026-02-03T00:00:00Z"/>
        <s v="20-02-2026 23:00"/>
        <d v="2026-04-01T18:00:00Z"/>
        <s v="19-02-2026 20:00"/>
        <s v="24-02-2026 01:00"/>
        <s v="14-02-2026 06:00"/>
        <d v="2026-12-01T16:00:00Z"/>
        <s v="22-01-2026 18:00"/>
        <d v="2026-10-03T05:00:00Z"/>
        <d v="2026-05-02T20:00:00Z"/>
        <s v="18-03-2026 06:00"/>
        <s v="21-02-2026 08:00"/>
        <d v="2026-10-01T20:00:00Z"/>
        <s v="19-02-2026 03:00"/>
        <s v="26-02-2026 13:00"/>
        <s v="17-02-2026 10:00"/>
        <d v="2026-12-01T02:00:00Z"/>
        <s v="14-02-2026 19:00"/>
        <s v="17-03-2026 23:00"/>
        <s v="20-02-2026 11:00"/>
        <d v="2026-05-01T16:00:00Z"/>
        <d v="2026-07-01T22:00:00Z"/>
        <s v="31-01-2026 00:00"/>
        <s v="19-03-2026 05:00"/>
        <s v="27-01-2026 14:00"/>
        <d v="2026-11-03T02:00:00Z"/>
        <d v="2026-10-02T22:00:00Z"/>
        <d v="2026-03-03T16:00:00Z"/>
        <s v="19-02-2026 17:00"/>
        <d v="2026-10-01T09:00:00Z"/>
        <d v="2026-03-02T14:00:00Z"/>
        <s v="20-01-2026 22:00"/>
        <s v="23-01-2026 07:00"/>
        <s v="16-02-2026 11:00"/>
        <s v="18-02-2026 17:00"/>
        <d v="2026-09-02T15:00:00Z"/>
        <d v="2026-08-02T21:00:00Z"/>
        <s v="19-03-2026 13:00"/>
        <s v="18-03-2026 16:00"/>
        <s v="21-03-2026 20:00"/>
        <s v="31-01-2026 17:00"/>
        <s v="27-02-2026 11:00"/>
        <s v="19-01-2026 16:00"/>
        <s v="15-02-2026 17:00"/>
        <s v="16-01-2026 19:00"/>
        <d v="2026-03-02T01:00:00Z"/>
        <s v="16-01-2026 11:00"/>
        <s v="20-03-2026 22:00"/>
        <d v="2026-10-02T04:00:00Z"/>
        <s v="26-02-2026 11:00"/>
        <d v="2026-05-03T11:00:00Z"/>
        <d v="2026-01-02T21:00:00Z"/>
        <s v="14-02-2026 00:00"/>
        <s v="13-01-2026 07:00"/>
        <s v="29-01-2026 20:00"/>
        <d v="2026-12-02T12:00:00Z"/>
        <s v="28-01-2026 22:00"/>
        <s v="18-03-2026 21:00"/>
        <s v="15-03-2026 03:00"/>
        <d v="2026-04-02T20:00:00Z"/>
        <s v="20-02-2026 02:00"/>
        <d v="2026-10-02T13:00:00Z"/>
        <s v="25-01-2026 01:00"/>
        <s v="26-03-2026 20:00"/>
        <s v="22-02-2026 16:00"/>
        <s v="14-02-2026 16:00"/>
        <s v="16-03-2026 14:00"/>
        <s v="14-01-2026 05:00"/>
        <d v="2026-08-02T16:00:00Z"/>
        <s v="28-01-2026 10:00"/>
        <s v="22-01-2026 22:00"/>
        <s v="18-01-2026 04:00"/>
        <d v="2026-04-02T13:00:00Z"/>
        <d v="2026-06-02T19:00:00Z"/>
        <s v="22-03-2026 03:00"/>
        <s v="22-01-2026 08:00"/>
        <d v="2026-05-03T02:00:00Z"/>
        <s v="31-01-2026 08:00"/>
        <s v="25-03-2026 18:00"/>
        <d v="2026-01-02T03:00:00Z"/>
        <d v="2026-10-01T07:00:00Z"/>
        <s v="28-02-2026 19:00"/>
        <s v="23-02-2026 23:00"/>
        <s v="18-01-2026 23:00"/>
        <s v="26-01-2026 06:00"/>
        <s v="18-02-2026 12:00"/>
        <s v="19-02-2026 12:00"/>
        <s v="18-01-2026 19:00"/>
        <s v="26-02-2026 21:00"/>
        <s v="13-01-2026 17:00"/>
        <s v="19-03-2026 22:00"/>
        <s v="15-01-2026 23:00"/>
        <s v="14-03-2026 11:00"/>
        <d v="2026-07-01T18:00:00Z"/>
        <d v="2026-01-02T14:00:00Z"/>
        <d v="2026-04-02T08:00:00Z"/>
        <d v="2026-05-03T00:00:00Z"/>
        <s v="30-01-2026 20:00"/>
        <s v="27-02-2026 03:00"/>
        <s v="16-01-2026 06:00"/>
        <s v="26-01-2026 12:00"/>
        <d v="2026-10-03T14:00:00Z"/>
        <d v="2026-10-03T01:00:00Z"/>
        <s v="22-03-2026 20:00"/>
        <s v="23-01-2026 11:00"/>
        <d v="2026-02-01T15:00:00Z"/>
        <s v="24-01-2026 20:00"/>
        <s v="18-03-2026 20:00"/>
        <d v="2026-04-03T03:00:00Z"/>
        <d v="2026-10-02T16:00:00Z"/>
        <s v="29-01-2026 06:00"/>
        <s v="17-02-2026 01:00"/>
        <s v="21-03-2026 15:00"/>
        <d v="2026-04-01T23:00:00Z"/>
        <s v="21-03-2026 00:00"/>
        <s v="24-03-2026 07:00"/>
        <d v="2026-12-03T02:00:00Z"/>
        <s v="21-03-2026 10:00"/>
        <s v="24-02-2026 13:00"/>
        <s v="27-03-2026 03:00"/>
        <s v="24-03-2026 02:00"/>
        <s v="19-01-2026 09:00"/>
        <d v="2026-11-02T08:00:00Z"/>
        <s v="17-02-2026 16:00"/>
        <s v="15-02-2026 13:00"/>
        <s v="29-01-2026 02:00"/>
        <d v="2026-01-02T15:00:00Z"/>
        <s v="18-02-2026 10:00"/>
        <d v="2026-06-02T12:00:00Z"/>
        <d v="2026-08-01T01:00:00Z"/>
        <s v="20-01-2026 19:00"/>
        <d v="2026-06-01T15:00:00Z"/>
        <s v="27-01-2026 07:00"/>
        <d v="2026-11-02T05:00:00Z"/>
        <s v="23-03-2026 19:00"/>
        <s v="27-02-2026 12:00"/>
        <d v="2026-07-01T08:00:00Z"/>
        <d v="2026-12-03T11:00:00Z"/>
        <d v="2026-11-02T03:00:00Z"/>
        <s v="28-02-2026 17:00"/>
        <s v="23-01-2026 16:00"/>
        <s v="18-01-2026 09:00"/>
        <d v="2026-06-03T22:00:00Z"/>
        <s v="26-03-2026 21:00"/>
        <d v="2026-09-03T08:00:00Z"/>
        <s v="17-01-2026 21:00"/>
        <s v="24-01-2026 22:00"/>
        <d v="2026-10-03T16:00:00Z"/>
        <d v="2026-11-01T13:00:00Z"/>
        <d v="2026-04-01T15:00:00Z"/>
        <s v="23-01-2026 06:00"/>
        <d v="2026-03-03T08:00:00Z"/>
        <d v="2026-03-01T04:00:00Z"/>
        <s v="13-01-2026 06:00"/>
        <d v="2026-12-03T18:00:00Z"/>
        <d v="2026-05-02T06:00:00Z"/>
        <s v="16-03-2026 06:00"/>
        <d v="2026-06-02T17:00:00Z"/>
        <d v="2026-11-02T02:00:00Z"/>
        <s v="19-01-2026 07:00"/>
        <d v="2026-01-02T04:00:00Z"/>
        <s v="13-01-2026 16:00"/>
        <s v="22-01-2026 20:00"/>
        <s v="14-02-2026 22:00"/>
        <s v="13-02-2026 17:00"/>
        <d v="2026-12-01T04:00:00Z"/>
        <d v="2026-04-02T14:00:00Z"/>
        <d v="2026-11-01T03:00:00Z"/>
        <d v="2026-06-03T06:00:00Z"/>
        <d v="2026-03-02T07:00:00Z"/>
        <s v="16-01-2026 17:00"/>
        <s v="18-01-2026 00:00"/>
        <s v="27-02-2026 05:00"/>
        <d v="2026-04-03T21:00:00Z"/>
        <d v="2026-05-03T22:00:00Z"/>
        <s v="15-01-2026 14:00"/>
        <s v="28-01-2026 05:00"/>
        <d v="2026-05-01T21:00:00Z"/>
        <s v="25-03-2026 02:00"/>
        <d v="2026-09-02T17:00:00Z"/>
        <d v="2026-02-02T00:00:00Z"/>
        <d v="2026-01-03T02:00:00Z"/>
        <s v="20-03-2026 01:00"/>
        <s v="20-01-2026 21:00"/>
        <s v="24-03-2026 09:00"/>
        <d v="2026-11-01T01:00:00Z"/>
        <s v="16-01-2026 20:00"/>
        <d v="2026-02-02T18:00:00Z"/>
        <s v="22-03-2026 18:00"/>
        <s v="28-01-2026 16:00"/>
        <d v="2026-08-01T11:00:00Z"/>
        <d v="2026-11-03T00:00:00Z"/>
        <d v="2026-05-01T18:00:00Z"/>
        <d v="2026-10-02T03:00:00Z"/>
        <s v="15-01-2026 20:00"/>
        <d v="2026-06-03T23:00:00Z"/>
        <d v="2026-12-03T01:00:00Z"/>
        <s v="22-01-2026 06:00"/>
        <s v="13-03-2026 19:00"/>
        <d v="2026-08-02T05:00:00Z"/>
        <d v="2026-05-03T09:00:00Z"/>
        <d v="2026-03-02T23:00:00Z"/>
        <s v="26-03-2026 05:00"/>
        <s v="18-02-2026 23:00"/>
        <d v="2026-11-02T14:00:00Z"/>
        <s v="26-03-2026 06:00"/>
        <s v="20-02-2026 00:00"/>
        <s v="26-02-2026 06:00"/>
        <s v="24-02-2026 12:00"/>
        <d v="2026-10-01T18:00:00Z"/>
        <d v="2026-04-01T21:00:00Z"/>
        <d v="2026-07-03T10:00:00Z"/>
        <d v="2026-02-03T18:00:00Z"/>
        <s v="23-02-2026 03:00"/>
        <d v="2026-08-01T12:00:00Z"/>
        <d v="2026-06-02T06:00:00Z"/>
        <d v="2026-01-02T06:00:00Z"/>
        <s v="24-03-2026 06:00"/>
        <d v="2026-12-02T10:00:00Z"/>
        <d v="2026-12-02T20:00:00Z"/>
        <d v="2026-07-01T00:00:00Z"/>
        <s v="28-01-2026 21:00"/>
        <d v="2026-06-03T21:00:00Z"/>
        <s v="24-01-2026 14:00"/>
        <d v="2026-11-01T23:00:00Z"/>
        <d v="2026-05-02T13:00:00Z"/>
        <d v="2026-11-03T10:00:00Z"/>
        <s v="23-01-2026 01:00"/>
        <s v="15-01-2026 11:00"/>
        <s v="24-01-2026 19:00"/>
        <d v="2026-06-03T05:00:00Z"/>
        <s v="30-01-2026 02:00"/>
        <d v="2026-11-01T14:00:00Z"/>
        <d v="2026-05-03T03:00:00Z"/>
        <s v="29-01-2026 07:00"/>
        <s v="25-03-2026 21:00"/>
        <s v="26-01-2026 03:00"/>
        <d v="2026-06-03T19:00:00Z"/>
        <d v="2026-08-03T16:00:00Z"/>
        <d v="2026-06-01T00:00:00Z"/>
        <d v="2026-02-03T08:00:00Z"/>
        <s v="23-02-2026 07:00"/>
        <s v="16-02-2026 22:00"/>
        <d v="2026-04-02T16:00:00Z"/>
        <d v="2026-08-03T13:00:00Z"/>
        <s v="16-01-2026 13:00"/>
        <d v="2026-08-01T02:00:00Z"/>
        <d v="2026-06-01T14:00:00Z"/>
        <s v="20-03-2026 07:00"/>
        <s v="25-01-2026 20:00"/>
        <d v="2026-11-03T07:00:00Z"/>
        <s v="26-01-2026 16:00"/>
        <s v="25-02-2026 20:00"/>
        <s v="30-01-2026 17:00"/>
        <s v="21-03-2026 22:00"/>
        <s v="23-01-2026 14:00"/>
        <s v="26-02-2026 14:00"/>
        <d v="2026-04-02T12:00:00Z"/>
        <s v="15-02-2026 03:00"/>
        <s v="21-02-2026 19:00"/>
        <s v="23-02-2026 15:00"/>
        <d v="2026-06-01T05:00:00Z"/>
        <s v="14-01-2026 00:00"/>
        <d v="2026-10-01T13:00:00Z"/>
        <s v="15-02-2026 10:00"/>
        <s v="19-01-2026 22:00"/>
        <d v="2026-07-02T21:00:00Z"/>
        <s v="21-02-2026 23:00"/>
        <s v="20-03-2026 16:00"/>
        <s v="25-03-2026 22:00"/>
        <d v="2026-09-02T14:00:00Z"/>
        <s v="30-01-2026 00:00"/>
        <d v="2026-04-02T22:00:00Z"/>
        <s v="23-02-2026 04:00"/>
        <s v="20-03-2026 05:00"/>
        <d v="2026-02-03T03:00:00Z"/>
        <s v="27-02-2026 17:00"/>
        <s v="27-02-2026 22:00"/>
        <d v="2026-03-03T06:00:00Z"/>
        <s v="15-03-2026 06:00"/>
        <d v="2026-12-03T05:00:00Z"/>
        <d v="2026-08-03T00:00:00Z"/>
        <d v="2026-02-03T01:00:00Z"/>
        <s v="23-03-2026 14:00"/>
        <d v="2026-12-02T05:00:00Z"/>
        <d v="2026-02-03T11:00:00Z"/>
        <d v="2026-11-02T23:00:00Z"/>
        <d v="2026-06-03T15:00:00Z"/>
        <s v="30-01-2026 03:00"/>
        <s v="15-01-2026 19:00"/>
        <s v="28-01-2026 02:00"/>
        <s v="27-01-2026 22:00"/>
        <s v="14-02-2026 04:00"/>
        <s v="21-03-2026 07:00"/>
        <s v="21-03-2026 05:00"/>
        <d v="2026-12-02T13:00:00Z"/>
        <s v="26-01-2026 08:00"/>
        <s v="25-02-2026 00:00"/>
        <d v="2026-11-01T18:00:00Z"/>
        <s v="22-02-2026 19:00"/>
        <d v="2026-11-01T02:00:00Z"/>
        <d v="2026-08-02T10:00:00Z"/>
        <s v="15-01-2026 05:00"/>
        <d v="2026-01-03T19:00:00Z"/>
        <s v="17-02-2026 14:00"/>
        <d v="2026-10-01T06:00:00Z"/>
        <s v="25-03-2026 01:00"/>
        <s v="19-01-2026 08:00"/>
        <s v="30-01-2026 07:00"/>
        <d v="2026-11-02T10:00:00Z"/>
        <s v="23-01-2026 03:00"/>
        <s v="20-02-2026 07:00"/>
        <s v="16-03-2026 02:00"/>
        <s v="26-03-2026 01:00"/>
        <d v="2026-02-03T06:00:00Z"/>
        <s v="24-03-2026 01:00"/>
        <d v="2026-11-03T03:00:00Z"/>
        <d v="2026-02-02T03:00:00Z"/>
        <s v="30-01-2026 22:00"/>
        <s v="14-03-2026 02:00"/>
        <s v="13-02-2026 11:00"/>
        <d v="2026-12-02T02:00:00Z"/>
        <s v="21-03-2026 11:00"/>
        <s v="23-03-2026 16:00"/>
        <s v="25-02-2026 16:00"/>
        <s v="16-03-2026 03:00"/>
        <s v="14-03-2026 22:00"/>
        <s v="14-03-2026 06:00"/>
        <d v="2026-01-03T08:00:00Z"/>
        <s v="21-02-2026 16:00"/>
        <d v="2026-09-03T17:00:00Z"/>
        <d v="2026-03-02T16:00:00Z"/>
        <s v="19-03-2026 04:00"/>
        <s v="30-01-2026 19:00"/>
        <d v="2026-09-02T18:00:00Z"/>
        <d v="2026-04-03T08:00:00Z"/>
        <d v="2026-08-02T20:00:00Z"/>
        <s v="17-02-2026 00:00"/>
        <d v="2026-02-02T11:00:00Z"/>
        <d v="2026-05-03T19:00:00Z"/>
        <s v="17-02-2026 12:00"/>
        <d v="2026-12-03T09:00:00Z"/>
        <d v="2026-07-03T19:00:00Z"/>
        <s v="15-03-2026 20:00"/>
        <d v="2026-09-01T11:00:00Z"/>
        <d v="2026-04-03T04:00:00Z"/>
        <s v="26-01-2026 09:00"/>
        <d v="2026-07-01T21:00:00Z"/>
        <d v="2026-05-01T23:00:00Z"/>
        <d v="2026-11-03T04:00:00Z"/>
        <s v="25-03-2026 20:00"/>
        <s v="16-01-2026 01:00"/>
        <s v="22-01-2026 11:00"/>
        <s v="13-01-2026 11:00"/>
        <d v="2026-03-03T12:00:00Z"/>
        <s v="14-03-2026 18:00"/>
        <d v="2026-12-01T20:00:00Z"/>
        <s v="27-01-2026 21:00"/>
        <s v="18-02-2026 00:00"/>
        <d v="2026-05-01T12:00:00Z"/>
        <d v="2026-03-02T09:00:00Z"/>
        <d v="2026-05-02T00:00:00Z"/>
        <d v="2026-12-02T15:00:00Z"/>
        <s v="24-02-2026 04:00"/>
        <s v="26-01-2026 18:00"/>
        <d v="2026-12-01T00:00:00Z"/>
        <s v="20-01-2026 00:00"/>
        <d v="2026-11-03T06:00:00Z"/>
        <d v="2026-06-01T03:00:00Z"/>
        <d v="2026-02-03T20:00:00Z"/>
        <d v="2026-01-02T18:00:00Z"/>
        <d v="2026-03-02T06:00:00Z"/>
        <s v="17-02-2026 20:00"/>
        <d v="2026-12-03T03:00:00Z"/>
        <d v="2026-08-02T23:00:00Z"/>
        <s v="14-01-2026 02:00"/>
        <s v="15-01-2026 18:00"/>
        <d v="2026-12-03T15:00:00Z"/>
        <d v="2026-08-01T07:00:00Z"/>
        <s v="25-01-2026 11:00"/>
        <d v="2026-09-02T22:00:00Z"/>
        <s v="18-03-2026 13:00"/>
        <s v="17-03-2026 12:00"/>
        <s v="17-01-2026 20:00"/>
        <s v="26-02-2026 02:00"/>
        <s v="13-03-2026 11:00"/>
        <s v="23-02-2026 22:00"/>
        <s v="24-01-2026 15:00"/>
        <s v="27-03-2026 02:00"/>
        <s v="16-02-2026 15:00"/>
        <d v="2026-08-03T09:00:00Z"/>
        <s v="20-01-2026 10:00"/>
        <d v="2026-05-03T21:00:00Z"/>
        <s v="27-02-2026 04:00"/>
        <s v="22-03-2026 00:00"/>
        <s v="14-02-2026 02:00"/>
        <s v="29-01-2026 16:00"/>
        <d v="2026-01-02T17:00:00Z"/>
        <d v="2026-01-03T05:00:00Z"/>
        <d v="2026-03-01T07:00:00Z"/>
        <s v="17-02-2026 07:00"/>
        <s v="18-01-2026 16:00"/>
        <d v="2026-09-03T22:00:00Z"/>
        <s v="28-03-2026 07:00"/>
        <s v="25-01-2026 13:00"/>
        <s v="16-03-2026 11:00"/>
        <d v="2026-04-03T15:00:00Z"/>
        <d v="2026-05-02T21:00:00Z"/>
        <d v="2026-03-03T15:00:00Z"/>
        <s v="22-03-2026 10:00"/>
        <s v="22-02-2026 15:00"/>
        <s v="24-03-2026 12:00"/>
        <d v="2026-02-02T17:00:00Z"/>
        <s v="13-01-2026 19:00"/>
        <s v="23-01-2026 22:00"/>
        <s v="21-01-2026 19:00"/>
        <s v="18-01-2026 05:00"/>
        <d v="2026-07-03T07:00:00Z"/>
        <s v="28-01-2026 14:00"/>
        <s v="22-02-2026 21:00"/>
        <d v="2026-08-02T11:00:00Z"/>
        <s v="27-01-2026 19:00"/>
        <s v="17-03-2026 05:00"/>
        <d v="2026-07-03T18:00:00Z"/>
        <d v="2026-03-02T02:00:00Z"/>
        <d v="2026-04-01T10:00:00Z"/>
        <s v="27-01-2026 03:00"/>
        <s v="21-02-2026 09:00"/>
        <s v="14-01-2026 07:00"/>
        <d v="2026-11-02T11:00:00Z"/>
        <d v="2026-05-02T09:00:00Z"/>
        <s v="24-02-2026 08:00"/>
        <s v="15-02-2026 02:00"/>
        <d v="2026-09-02T03:00:00Z"/>
        <s v="16-02-2026 23:00"/>
        <s v="17-03-2026 17:00"/>
        <d v="2026-10-01T16:00:00Z"/>
        <s v="17-03-2026 19:00"/>
        <d v="2026-02-02T10:00:00Z"/>
        <d v="2026-10-03T08:00:00Z"/>
        <s v="23-01-2026 17:00"/>
        <s v="26-03-2026 00:00"/>
        <d v="2026-07-02T18:00:00Z"/>
        <s v="24-03-2026 05:00"/>
        <s v="21-01-2026 10:00"/>
        <d v="2026-12-01T11:00:00Z"/>
        <s v="31-01-2026 01:00"/>
        <s v="22-02-2026 01:00"/>
        <s v="25-01-2026 09:00"/>
        <s v="13-01-2026 12:00"/>
        <s v="18-02-2026 02:00"/>
        <s v="24-01-2026 23:00"/>
        <s v="15-02-2026 08:00"/>
        <d v="2026-12-02T21:00:00Z"/>
        <s v="28-01-2026 06:00"/>
        <s v="23-02-2026 05:00"/>
        <s v="25-03-2026 23:00"/>
        <d v="2026-09-02T09:00:00Z"/>
        <s v="18-03-2026 12:00"/>
        <s v="16-01-2026 16:00"/>
        <d v="2026-02-01T11:00:00Z"/>
        <d v="2026-01-02T07:00:00Z"/>
        <d v="2026-12-01T21:00:00Z"/>
        <s v="19-03-2026 10:00"/>
        <d v="2026-09-01T05:00:00Z"/>
        <s v="20-01-2026 16:00"/>
        <d v="2026-10-03T22:00:00Z"/>
        <d v="2026-04-01T00:00:00Z"/>
        <d v="2026-07-01T14:00:00Z"/>
        <d v="2026-04-03T14:00:00Z"/>
        <s v="22-01-2026 12:00"/>
        <s v="27-02-2026 23:00"/>
        <s v="13-02-2026 22:00"/>
        <s v="21-03-2026 19:00"/>
        <s v="26-03-2026 14:00"/>
        <s v="22-01-2026 01:00"/>
        <s v="22-01-2026 23:00"/>
        <s v="25-02-2026 07:00"/>
        <d v="2026-04-02T10:00:00Z"/>
        <s v="26-03-2026 10:00"/>
        <s v="24-03-2026 21:00"/>
        <s v="28-02-2026 22:00"/>
        <s v="13-02-2026 08:00"/>
        <s v="21-02-2026 22:00"/>
        <d v="2026-05-02T15:00:00Z"/>
        <s v="22-02-2026 07:00"/>
        <d v="2026-02-02T21:00:00Z"/>
        <s v="22-02-2026 17:00"/>
        <s v="23-01-2026 23:00"/>
        <d v="2026-05-02T19:00:00Z"/>
        <d v="2026-07-03T02:00:00Z"/>
        <s v="24-02-2026 00:00"/>
        <d v="2026-11-02T04:00:00Z"/>
        <d v="2026-11-03T12:00:00Z"/>
        <s v="31-01-2026 06:00"/>
        <s v="13-02-2026 23:00"/>
        <d v="2026-01-03T09:00:00Z"/>
        <s v="31-01-2026 02:00"/>
        <s v="29-01-2026 12:00"/>
        <s v="20-01-2026 14:00"/>
        <s v="17-01-2026 10:00"/>
        <d v="2026-07-03T14:00:00Z"/>
        <d v="2026-10-02T20:00:00Z"/>
        <s v="15-01-2026 15:00"/>
        <d v="2026-11-01T09:00:00Z"/>
        <s v="17-01-2026 00:00"/>
        <s v="16-03-2026 01:00"/>
        <d v="2026-02-02T16:00:00Z"/>
        <d v="2026-09-02T01:00:00Z"/>
        <s v="24-03-2026 03:00"/>
        <d v="2026-07-02T04:00:00Z"/>
        <s v="23-03-2026 03:00"/>
        <s v="13-03-2026 16:00"/>
        <s v="27-01-2026 13:00"/>
        <d v="2026-09-02T05:00:00Z"/>
        <d v="2026-09-03T04:00:00Z"/>
        <s v="30-01-2026 16:00"/>
        <s v="15-01-2026 00:00"/>
        <d v="2026-10-03T10:00:00Z"/>
        <s v="25-01-2026 22:00"/>
        <d v="2026-07-03T15:00:00Z"/>
        <d v="2026-02-02T14:00:00Z"/>
        <s v="17-02-2026 02:00"/>
        <d v="2026-10-01T11:00:00Z"/>
        <d v="2026-09-03T23:00:00Z"/>
        <s v="26-03-2026 23:00"/>
        <d v="2026-06-03T10:00:00Z"/>
        <d v="2026-09-01T09:00:00Z"/>
        <s v="17-03-2026 15:00"/>
        <s v="20-03-2026 23:00"/>
        <s v="27-01-2026 02:00"/>
        <d v="2026-08-03T14:00:00Z"/>
        <s v="21-03-2026 04:00"/>
        <s v="26-03-2026 22:00"/>
        <d v="2026-03-02T13:00:00Z"/>
        <d v="2026-08-02T22:00:00Z"/>
        <s v="19-02-2026 18:00"/>
        <s v="14-01-2026 23:00"/>
        <d v="2026-03-02T10:00:00Z"/>
        <d v="2026-09-01T13:00:00Z"/>
        <s v="20-01-2026 01:00"/>
        <s v="21-02-2026 11:00"/>
        <s v="20-02-2026 10:00"/>
        <d v="2026-06-01T06:00:00Z"/>
        <s v="18-03-2026 08:00"/>
        <d v="2026-04-03T00:00:00Z"/>
        <s v="25-02-2026 12:00"/>
        <d v="2026-04-03T23:00:00Z"/>
        <d v="2026-04-03T09:00:00Z"/>
        <d v="2026-12-03T06:00:00Z"/>
        <d v="2026-03-01T13:00:00Z"/>
        <s v="25-02-2026 17:00"/>
        <s v="22-03-2026 14:00"/>
        <d v="2026-02-01T17:00:00Z"/>
        <d v="2026-08-01T05:00:00Z"/>
        <s v="24-01-2026 05:00"/>
        <s v="19-03-2026 00:00"/>
        <d v="2026-05-02T04:00:00Z"/>
        <s v="24-03-2026 16:00"/>
        <s v="14-03-2026 09:00"/>
        <s v="29-01-2026 09:00"/>
        <d v="2026-05-02T10:00:00Z"/>
        <d v="2026-10-01T14:00:00Z"/>
        <s v="14-02-2026 15:00"/>
        <s v="19-03-2026 08:00"/>
        <s v="23-02-2026 21:00"/>
        <s v="30-01-2026 11:00"/>
        <d v="2026-05-01T06:00:00Z"/>
        <s v="19-01-2026 00:00"/>
        <d v="2026-06-03T03:00:00Z"/>
        <s v="13-03-2026 18:00"/>
        <s v="24-01-2026 01:00"/>
        <d v="2026-04-01T19:00:00Z"/>
        <d v="2026-01-02T08:00:00Z"/>
        <s v="26-03-2026 18:00"/>
        <s v="20-01-2026 17:00"/>
        <s v="27-03-2026 15:00"/>
        <s v="16-03-2026 15:00"/>
        <d v="2026-06-02T05:00:00Z"/>
        <s v="18-03-2026 22:00"/>
        <s v="17-01-2026 02:00"/>
        <d v="2026-03-03T01:00:00Z"/>
        <d v="2026-05-03T23:00:00Z"/>
        <d v="2026-05-01T08:00:00Z"/>
        <s v="14-02-2026 09:00"/>
        <d v="2026-09-01T16:00:00Z"/>
        <s v="24-03-2026 20:00"/>
        <s v="13-03-2026 17:00"/>
        <s v="21-01-2026 03:00"/>
        <s v="26-02-2026 10:00"/>
        <s v="20-02-2026 21:00"/>
        <s v="23-02-2026 01:00"/>
        <s v="13-03-2026 21:00"/>
        <s v="20-01-2026 20:00"/>
        <s v="22-03-2026 09:00"/>
        <s v="18-02-2026 19:00"/>
        <d v="2026-07-02T06:00:00Z"/>
        <s v="18-02-2026 11:00"/>
        <s v="19-01-2026 02:00"/>
        <d v="2026-12-01T05:00:00Z"/>
        <s v="13-03-2026 00:00"/>
        <s v="19-01-2026 04:00"/>
        <d v="2026-12-02T22:00:00Z"/>
        <s v="24-03-2026 17:00"/>
        <d v="2026-03-03T00:00:00Z"/>
        <s v="14-03-2026 20:00"/>
        <s v="14-01-2026 10:00"/>
        <s v="21-02-2026 07:00"/>
        <s v="30-01-2026 23:00"/>
        <d v="2026-10-02T01:00:00Z"/>
        <s v="16-02-2026 06:00"/>
        <s v="13-02-2026 00:00"/>
        <d v="2026-10-01T22:00:00Z"/>
        <s v="18-01-2026 07:00"/>
        <d v="2026-02-03T13:00:00Z"/>
        <s v="28-02-2026 01:00"/>
        <s v="21-03-2026 18:00"/>
        <d v="2026-12-02T19:00:00Z"/>
        <s v="17-02-2026 22:00"/>
        <s v="13-01-2026 10:00"/>
        <s v="21-01-2026 09:00"/>
        <s v="14-01-2026 16:00"/>
        <s v="24-02-2026 14:00"/>
        <s v="18-02-2026 14:00"/>
        <d v="2026-01-03T22:00:00Z"/>
        <s v="17-01-2026 16:00"/>
        <d v="2026-06-02T09:00:00Z"/>
        <s v="20-03-2026 14:00"/>
        <s v="19-02-2026 19:00"/>
        <s v="30-01-2026 09:00"/>
        <d v="2026-05-03T12:00:00Z"/>
        <s v="26-01-2026 20:00"/>
        <s v="27-03-2026 18:00"/>
        <d v="2026-08-02T03:00:00Z"/>
        <s v="25-02-2026 04:00"/>
        <s v="26-02-2026 15:00"/>
        <s v="24-01-2026 16:00"/>
        <s v="26-02-2026 12:00"/>
        <d v="2026-07-03T17:00:00Z"/>
        <d v="2026-10-03T04:00:00Z"/>
        <s v="28-02-2026 16:00"/>
        <s v="26-02-2026 16:00"/>
        <d v="2026-11-01T20:00:00Z"/>
        <s v="25-01-2026 16:00"/>
        <s v="23-02-2026 12:00"/>
        <d v="2026-09-03T21:00:00Z"/>
        <s v="20-03-2026 04:00"/>
        <s v="26-02-2026 18:00"/>
        <s v="13-01-2026 13:00"/>
        <d v="2026-10-02T10:00:00Z"/>
        <s v="22-01-2026 13:00"/>
        <s v="16-01-2026 05:00"/>
        <d v="2026-08-02T04:00:00Z"/>
        <d v="2026-05-01T22:00:00Z"/>
        <s v="19-02-2026 09:00"/>
        <d v="2026-02-03T21:00:00Z"/>
        <s v="23-01-2026 10:00"/>
        <s v="22-03-2026 11:00"/>
        <d v="2026-08-03T18:00:00Z"/>
        <s v="18-01-2026 10:00"/>
        <d v="2026-04-01T03:00:00Z"/>
        <d v="2026-05-03T17:00:00Z"/>
        <d v="2026-05-01T10:00:00Z"/>
        <s v="28-03-2026 20:00"/>
        <d v="2026-07-02T07:00:00Z"/>
        <d v="2026-03-02T20:00:00Z"/>
        <d v="2026-08-01T20:00:00Z"/>
        <s v="24-01-2026 10:00"/>
        <s v="17-01-2026 11:00"/>
        <d v="2026-06-03T14:00:00Z"/>
        <d v="2026-04-03T05:00:00Z"/>
        <s v="21-01-2026 16:00"/>
        <s v="17-03-2026 08:00"/>
        <d v="2026-03-01T21:00:00Z"/>
        <d v="2026-08-01T22:00:00Z"/>
        <d v="2026-08-01T06:00:00Z"/>
        <s v="18-03-2026 04:00"/>
        <d v="2026-07-02T16:00:00Z"/>
        <s v="20-01-2026 15:00"/>
        <d v="2026-11-01T10:00:00Z"/>
        <d v="2026-08-02T01:00:00Z"/>
        <d v="2026-07-02T10:00:00Z"/>
        <s v="14-03-2026 13:00"/>
        <d v="2026-10-01T02:00:00Z"/>
        <s v="21-03-2026 09:00"/>
        <s v="23-03-2026 15:00"/>
        <s v="25-01-2026 15:00"/>
        <s v="25-03-2026 13:00"/>
        <s v="23-03-2026 21:00"/>
        <d v="2026-05-02T16:00:00Z"/>
        <d v="2026-03-03T11:00:00Z"/>
        <s v="26-01-2026 19:00"/>
        <s v="15-01-2026 13:00"/>
        <s v="15-03-2026 14:00"/>
        <d v="2026-03-02T04:00:00Z"/>
        <d v="2026-05-02T23:00:00Z"/>
        <d v="2026-12-03T14:00:00Z"/>
        <s v="27-02-2026 15:00"/>
        <s v="25-02-2026 23:00"/>
        <s v="30-01-2026 15:00"/>
        <s v="15-01-2026 02:00"/>
        <s v="20-01-2026 08:00"/>
        <s v="13-03-2026 07:00"/>
        <s v="14-03-2026 12:00"/>
        <s v="21-03-2026 02:00"/>
        <s v="18-03-2026 17:00"/>
        <s v="15-01-2026 17:00"/>
        <s v="30-01-2026 12:00"/>
        <d v="2026-11-03T16:00:00Z"/>
        <d v="2026-09-02T19:00:00Z"/>
        <s v="13-02-2026 03:00"/>
        <d v="2026-08-02T07:00:00Z"/>
        <s v="20-02-2026 09:00"/>
        <s v="20-02-2026 05:00"/>
        <d v="2026-02-02T19:00:00Z"/>
        <s v="14-03-2026 03:00"/>
        <s v="20-03-2026 09:00"/>
        <s v="13-02-2026 16:00"/>
        <d v="2026-08-02T15:00:00Z"/>
        <s v="16-02-2026 02:00"/>
        <d v="2026-05-03T08:00:00Z"/>
        <d v="2026-02-01T18:00:00Z"/>
        <d v="2026-06-02T18:00:00Z"/>
        <d v="2026-03-02T08:00:00Z"/>
        <s v="20-01-2026 07:00"/>
        <d v="2026-02-03T07:00:00Z"/>
        <d v="2026-01-03T23:00:00Z"/>
        <s v="16-01-2026 18:00"/>
        <d v="2026-01-03T20:00:00Z"/>
        <s v="20-03-2026 13:00"/>
        <d v="2026-04-02T03:00:00Z"/>
        <d v="2026-03-03T10:00:00Z"/>
        <d v="2026-03-01T14:00:00Z"/>
        <s v="27-02-2026 21:00"/>
        <d v="2026-07-02T20:00:00Z"/>
      </sharedItems>
    </cacheField>
    <cacheField name="SLA_Hours" numFmtId="0">
      <sharedItems containsSemiMixedTypes="0" containsString="0" containsNumber="1" containsInteger="1">
        <n v="72.0"/>
        <n v="24.0"/>
        <n v="48.0"/>
      </sharedItems>
    </cacheField>
    <cacheField name="Status" numFmtId="0">
      <sharedItems>
        <s v="Closed"/>
      </sharedItems>
    </cacheField>
    <cacheField name="created_date_time2" numFmtId="164">
      <sharedItems containsSemiMixedTypes="0" containsDate="1" containsString="0">
        <d v="2026-02-12T14:00:00Z"/>
        <d v="2026-01-09T05:00:00Z"/>
        <d v="2026-02-16T11:00:00Z"/>
        <d v="2026-02-01T06:00:00Z"/>
        <d v="2026-02-25T07:00:00Z"/>
        <d v="2026-02-19T23:00:00Z"/>
        <d v="2026-02-09T19:00:00Z"/>
        <d v="2026-02-09T15:00:00Z"/>
        <d v="2026-01-12T18:00:00Z"/>
        <d v="2026-03-07T13:00:00Z"/>
        <d v="2026-01-26T13:00:00Z"/>
        <d v="2026-02-02T18:00:00Z"/>
        <d v="2026-03-16T00:00:00Z"/>
        <d v="2026-02-14T19:00:00Z"/>
        <d v="2026-01-04T22:00:00Z"/>
        <d v="2026-01-30T15:00:00Z"/>
        <d v="2026-03-14T16:00:00Z"/>
        <d v="2026-01-10T19:00:00Z"/>
        <d v="2026-01-23T21:00:00Z"/>
        <d v="2026-02-11T07:00:00Z"/>
        <d v="2026-01-09T14:00:00Z"/>
        <d v="2026-02-05T19:00:00Z"/>
        <d v="2026-01-07T20:00:00Z"/>
        <d v="2026-01-13T09:00:00Z"/>
        <d v="2026-02-14T07:00:00Z"/>
        <d v="2026-03-01T15:00:00Z"/>
        <d v="2026-01-09T11:00:00Z"/>
        <d v="2026-02-17T17:00:00Z"/>
        <d v="2026-01-28T15:00:00Z"/>
        <d v="2026-01-01T12:00:00Z"/>
        <d v="2026-01-07T21:00:00Z"/>
        <d v="2026-02-22T23:00:00Z"/>
        <d v="2026-03-24T14:00:00Z"/>
        <d v="2026-03-01T10:00:00Z"/>
        <d v="2026-02-09T08:00:00Z"/>
        <d v="2026-02-06T18:00:00Z"/>
        <d v="2026-01-24T21:00:00Z"/>
        <d v="2026-01-03T16:00:00Z"/>
        <d v="2026-03-18T00:00:00Z"/>
        <d v="2026-01-27T06:00:00Z"/>
        <d v="2026-02-28T07:00:00Z"/>
        <d v="2026-02-17T18:00:00Z"/>
        <d v="2026-03-01T21:00:00Z"/>
        <d v="2026-03-20T03:00:00Z"/>
        <d v="2026-02-18T20:00:00Z"/>
        <d v="2026-01-23T22:00:00Z"/>
        <d v="2026-01-04T12:00:00Z"/>
        <d v="2026-02-22T21:00:00Z"/>
        <d v="2026-03-01T03:00:00Z"/>
        <d v="2026-02-18T17:00:00Z"/>
        <d v="2026-01-01T18:00:00Z"/>
        <d v="2026-02-16T01:00:00Z"/>
        <d v="2026-02-23T01:00:00Z"/>
        <d v="2026-02-11T08:00:00Z"/>
        <d v="2026-01-10T10:00:00Z"/>
        <d v="2026-01-19T02:00:00Z"/>
        <d v="2026-03-07T19:00:00Z"/>
        <d v="2026-02-04T00:00:00Z"/>
        <d v="2026-03-14T13:00:00Z"/>
        <d v="2026-02-20T00:00:00Z"/>
        <d v="2026-01-07T05:00:00Z"/>
        <d v="2026-02-16T08:00:00Z"/>
        <d v="2026-02-23T09:00:00Z"/>
        <d v="2026-02-14T21:00:00Z"/>
        <d v="2026-01-11T14:00:00Z"/>
        <d v="2026-02-11T22:00:00Z"/>
        <d v="2026-02-18T08:00:00Z"/>
        <d v="2026-01-04T11:00:00Z"/>
        <d v="2026-01-06T14:00:00Z"/>
        <d v="2026-01-28T05:00:00Z"/>
        <d v="2026-03-16T01:00:00Z"/>
        <d v="2026-01-27T02:00:00Z"/>
        <d v="2026-03-09T21:00:00Z"/>
        <d v="2026-02-07T09:00:00Z"/>
        <d v="2026-03-02T07:00:00Z"/>
        <d v="2026-02-17T03:00:00Z"/>
        <d v="2026-01-07T14:00:00Z"/>
        <d v="2026-02-02T04:00:00Z"/>
        <d v="2026-01-25T15:00:00Z"/>
        <d v="2026-01-18T02:00:00Z"/>
        <d v="2026-01-22T03:00:00Z"/>
        <d v="2026-02-14T10:00:00Z"/>
        <d v="2026-02-17T05:00:00Z"/>
        <d v="2026-02-07T12:00:00Z"/>
        <d v="2026-02-14T03:00:00Z"/>
        <d v="2026-02-07T18:00:00Z"/>
        <d v="2026-03-16T07:00:00Z"/>
        <d v="2026-03-15T07:00:00Z"/>
        <d v="2026-03-19T17:00:00Z"/>
        <d v="2026-01-30T06:00:00Z"/>
        <d v="2026-01-18T21:00:00Z"/>
        <d v="2026-02-12T17:00:00Z"/>
        <d v="2026-01-14T22:00:00Z"/>
        <d v="2026-01-30T19:00:00Z"/>
        <d v="2026-01-15T10:00:00Z"/>
        <d v="2026-03-18T01:00:00Z"/>
        <d v="2026-02-07T20:00:00Z"/>
        <d v="2026-02-24T10:00:00Z"/>
        <d v="2026-03-04T14:00:00Z"/>
        <d v="2026-01-30T08:00:00Z"/>
        <d v="2026-02-13T02:00:00Z"/>
        <d v="2026-01-09T12:00:00Z"/>
        <d v="2026-01-26T12:00:00Z"/>
        <d v="2026-01-26T11:00:00Z"/>
        <d v="2026-03-17T02:00:00Z"/>
        <d v="2026-03-13T23:00:00Z"/>
        <d v="2026-02-01T13:00:00Z"/>
        <d v="2026-02-17T04:00:00Z"/>
        <d v="2026-02-08T05:00:00Z"/>
        <d v="2026-01-24T08:00:00Z"/>
        <d v="2026-03-23T12:00:00Z"/>
        <d v="2026-02-20T06:00:00Z"/>
        <d v="2026-02-13T05:00:00Z"/>
        <d v="2026-03-13T16:00:00Z"/>
        <d v="2026-01-13T07:00:00Z"/>
        <d v="2026-02-05T01:00:00Z"/>
        <d v="2026-01-25T10:00:00Z"/>
        <d v="2026-01-20T03:00:00Z"/>
        <d v="2026-01-14T09:00:00Z"/>
        <d v="2026-02-02T09:00:00Z"/>
        <d v="2026-02-03T16:00:00Z"/>
        <d v="2026-03-20T22:00:00Z"/>
        <d v="2026-01-19T03:00:00Z"/>
        <d v="2026-03-04T01:00:00Z"/>
        <d v="2026-01-30T01:00:00Z"/>
        <d v="2026-03-24T01:00:00Z"/>
        <d v="2026-01-29T04:00:00Z"/>
        <d v="2026-01-08T06:00:00Z"/>
        <d v="2026-02-27T03:00:00Z"/>
        <d v="2026-02-20T09:00:00Z"/>
        <d v="2026-01-15T22:00:00Z"/>
        <d v="2026-01-24T02:00:00Z"/>
        <d v="2026-02-15T06:00:00Z"/>
        <d v="2026-02-18T21:00:00Z"/>
        <d v="2026-01-16T20:00:00Z"/>
        <d v="2026-02-22T22:00:00Z"/>
        <d v="2026-01-09T22:00:00Z"/>
        <d v="2026-03-19T07:00:00Z"/>
        <d v="2026-01-13T13:00:00Z"/>
        <d v="2026-03-11T19:00:00Z"/>
        <d v="2026-01-04T10:00:00Z"/>
        <d v="2026-01-30T16:00:00Z"/>
        <d v="2026-02-01T19:00:00Z"/>
        <d v="2026-03-03T03:00:00Z"/>
        <d v="2026-01-28T20:00:00Z"/>
        <d v="2026-02-24T15:00:00Z"/>
        <d v="2026-01-14T19:00:00Z"/>
        <d v="2026-01-24T07:00:00Z"/>
        <d v="2026-03-09T03:00:00Z"/>
        <d v="2026-03-07T04:00:00Z"/>
        <d v="2026-03-22T04:00:00Z"/>
        <d v="2026-01-22T23:00:00Z"/>
        <d v="2026-01-01T06:00:00Z"/>
        <d v="2026-01-21T23:00:00Z"/>
        <d v="2026-03-18T03:00:00Z"/>
        <d v="2026-02-28T06:00:00Z"/>
        <d v="2026-02-09T01:00:00Z"/>
        <d v="2026-01-26T00:00:00Z"/>
        <d v="2026-02-13T08:00:00Z"/>
        <d v="2026-03-18T14:00:00Z"/>
        <d v="2026-01-03T10:00:00Z"/>
        <d v="2026-03-19T13:00:00Z"/>
        <d v="2026-03-20T21:00:00Z"/>
        <d v="2026-03-09T05:00:00Z"/>
        <d v="2026-03-17T10:00:00Z"/>
        <d v="2026-02-22T08:00:00Z"/>
        <d v="2026-03-23T03:00:00Z"/>
        <d v="2026-03-21T08:00:00Z"/>
        <d v="2026-01-17T10:00:00Z"/>
        <d v="2026-02-08T12:00:00Z"/>
        <d v="2026-02-15T09:00:00Z"/>
        <d v="2026-02-12T11:00:00Z"/>
        <d v="2026-01-26T08:00:00Z"/>
        <d v="2026-01-29T00:00:00Z"/>
        <d v="2026-02-16T04:00:00Z"/>
        <d v="2026-02-02T14:00:00Z"/>
        <d v="2026-01-06T18:00:00Z"/>
        <d v="2026-01-20T02:00:00Z"/>
        <d v="2026-01-05T03:00:00Z"/>
        <d v="2026-01-24T11:00:00Z"/>
        <d v="2026-02-07T11:00:00Z"/>
        <d v="2026-02-23T12:00:00Z"/>
        <d v="2026-03-21T12:00:00Z"/>
        <d v="2026-02-24T22:00:00Z"/>
        <d v="2026-01-05T22:00:00Z"/>
        <d v="2026-03-10T15:00:00Z"/>
        <d v="2026-02-10T14:00:00Z"/>
        <d v="2026-02-25T04:00:00Z"/>
        <d v="2026-01-21T20:00:00Z"/>
        <d v="2026-01-17T15:00:00Z"/>
        <d v="2026-03-06T04:00:00Z"/>
        <d v="2026-03-24T02:00:00Z"/>
        <d v="2026-03-08T13:00:00Z"/>
        <d v="2026-01-15T00:00:00Z"/>
        <d v="2026-01-22T07:00:00Z"/>
        <d v="2026-03-08T16:00:00Z"/>
        <d v="2026-01-07T17:00:00Z"/>
        <d v="2026-01-02T05:00:00Z"/>
        <d v="2026-01-21T07:00:00Z"/>
        <d v="2026-02-28T05:00:00Z"/>
        <d v="2026-01-01T11:00:00Z"/>
        <d v="2026-01-10T11:00:00Z"/>
        <d v="2026-03-11T03:00:00Z"/>
        <d v="2026-02-04T18:00:00Z"/>
        <d v="2026-03-13T18:00:00Z"/>
        <d v="2026-02-04T03:00:00Z"/>
        <d v="2026-02-10T11:00:00Z"/>
        <d v="2026-01-17T19:00:00Z"/>
        <d v="2026-01-28T11:00:00Z"/>
        <d v="2026-01-12T11:00:00Z"/>
        <d v="2026-01-19T17:00:00Z"/>
        <d v="2026-02-14T01:00:00Z"/>
        <d v="2026-02-10T21:00:00Z"/>
        <d v="2026-01-08T17:00:00Z"/>
        <d v="2026-02-02T20:00:00Z"/>
        <d v="2026-01-10T05:00:00Z"/>
        <d v="2026-03-04T18:00:00Z"/>
        <d v="2026-02-02T17:00:00Z"/>
        <d v="2026-01-15T04:00:00Z"/>
        <d v="2026-02-23T14:00:00Z"/>
        <d v="2026-03-02T16:00:00Z"/>
        <d v="2026-03-03T20:00:00Z"/>
        <d v="2026-01-12T08:00:00Z"/>
        <d v="2026-01-24T12:00:00Z"/>
        <d v="2026-01-02T04:00:00Z"/>
        <d v="2026-03-22T09:00:00Z"/>
        <d v="2026-02-06T21:00:00Z"/>
        <d v="2026-01-26T04:00:00Z"/>
        <d v="2026-01-30T00:00:00Z"/>
        <d v="2026-02-27T04:00:00Z"/>
        <d v="2026-03-18T05:00:00Z"/>
        <d v="2026-01-17T17:00:00Z"/>
        <d v="2026-03-20T09:00:00Z"/>
        <d v="2026-01-10T04:00:00Z"/>
        <d v="2026-01-16T03:00:00Z"/>
        <d v="2026-01-30T02:00:00Z"/>
        <d v="2026-03-19T08:00:00Z"/>
        <d v="2026-01-26T07:00:00Z"/>
        <d v="2026-02-13T17:00:00Z"/>
        <d v="2026-01-05T15:00:00Z"/>
        <d v="2026-03-08T09:00:00Z"/>
        <d v="2026-01-05T04:00:00Z"/>
        <d v="2026-01-15T03:00:00Z"/>
        <d v="2026-03-06T05:00:00Z"/>
        <d v="2026-03-10T09:00:00Z"/>
        <d v="2026-01-21T16:00:00Z"/>
        <d v="2026-03-10T05:00:00Z"/>
        <d v="2026-02-05T05:00:00Z"/>
        <d v="2026-03-02T03:00:00Z"/>
        <d v="2026-03-22T07:00:00Z"/>
        <d v="2026-02-15T20:00:00Z"/>
        <d v="2026-03-15T15:00:00Z"/>
        <d v="2026-02-09T23:00:00Z"/>
        <d v="2026-03-22T15:00:00Z"/>
        <d v="2026-01-20T10:00:00Z"/>
        <d v="2026-02-25T11:00:00Z"/>
        <d v="2026-02-21T14:00:00Z"/>
        <d v="2026-01-06T21:00:00Z"/>
        <d v="2026-01-01T01:00:00Z"/>
        <d v="2026-03-04T03:00:00Z"/>
        <d v="2026-02-26T22:00:00Z"/>
        <d v="2026-02-20T08:00:00Z"/>
        <d v="2026-01-05T00:00:00Z"/>
        <d v="2026-02-03T09:00:00Z"/>
        <d v="2026-01-31T09:00:00Z"/>
        <d v="2026-03-20T14:00:00Z"/>
        <d v="2026-02-08T15:00:00Z"/>
        <d v="2026-02-11T17:00:00Z"/>
        <d v="2026-01-16T00:00:00Z"/>
        <d v="2026-03-05T00:00:00Z"/>
        <d v="2026-01-27T09:00:00Z"/>
        <d v="2026-03-05T03:00:00Z"/>
        <d v="2026-02-02T16:00:00Z"/>
        <d v="2026-03-09T17:00:00Z"/>
        <d v="2026-01-22T00:00:00Z"/>
        <d v="2026-01-14T16:00:00Z"/>
        <d v="2026-01-23T06:00:00Z"/>
        <d v="2026-03-03T12:00:00Z"/>
        <d v="2026-01-29T02:00:00Z"/>
        <d v="2026-01-08T02:00:00Z"/>
        <d v="2026-03-03T01:00:00Z"/>
        <d v="2026-01-28T14:00:00Z"/>
        <d v="2026-03-22T22:00:00Z"/>
        <d v="2026-01-24T05:00:00Z"/>
        <d v="2026-03-05T05:00:00Z"/>
        <d v="2026-01-07T01:00:00Z"/>
        <d v="2026-01-03T17:00:00Z"/>
        <d v="2026-03-01T06:00:00Z"/>
        <d v="2026-02-21T12:00:00Z"/>
        <d v="2026-01-06T10:00:00Z"/>
        <d v="2026-02-13T14:00:00Z"/>
        <d v="2026-02-02T06:00:00Z"/>
        <d v="2026-01-13T20:00:00Z"/>
        <d v="2026-02-08T07:00:00Z"/>
        <d v="2026-03-06T09:00:00Z"/>
        <d v="2026-01-12T22:00:00Z"/>
        <d v="2026-01-03T18:00:00Z"/>
        <d v="2026-03-19T14:00:00Z"/>
        <d v="2026-01-25T01:00:00Z"/>
        <d v="2026-03-08T04:00:00Z"/>
        <d v="2026-01-23T04:00:00Z"/>
        <d v="2026-02-24T01:00:00Z"/>
        <d v="2026-01-28T07:00:00Z"/>
        <d v="2026-03-21T07:00:00Z"/>
        <d v="2026-01-23T02:00:00Z"/>
        <d v="2026-02-24T02:00:00Z"/>
        <d v="2026-02-11T16:00:00Z"/>
        <d v="2026-02-18T12:00:00Z"/>
        <d v="2026-02-22T20:00:00Z"/>
        <d v="2026-01-02T11:00:00Z"/>
        <d v="2026-01-11T03:00:00Z"/>
        <d v="2026-01-08T20:00:00Z"/>
        <d v="2026-02-14T18:00:00Z"/>
        <d v="2026-01-17T20:00:00Z"/>
        <d v="2026-01-20T11:00:00Z"/>
        <d v="2026-02-05T23:00:00Z"/>
        <d v="2026-03-18T19:00:00Z"/>
        <d v="2026-03-23T22:00:00Z"/>
        <d v="2026-02-07T07:00:00Z"/>
        <d v="2026-01-29T03:00:00Z"/>
        <d v="2026-02-01T15:00:00Z"/>
        <d v="2026-02-20T05:00:00Z"/>
        <d v="2026-03-17T08:00:00Z"/>
        <d v="2026-02-26T19:00:00Z"/>
        <d v="2026-02-25T10:00:00Z"/>
        <d v="2026-02-25T09:00:00Z"/>
        <d v="2026-03-02T01:00:00Z"/>
        <d v="2026-03-11T09:00:00Z"/>
        <d v="2026-03-07T05:00:00Z"/>
        <d v="2026-02-17T15:00:00Z"/>
        <d v="2026-03-01T05:00:00Z"/>
        <d v="2026-03-21T22:00:00Z"/>
        <d v="2026-01-30T04:00:00Z"/>
        <d v="2026-02-11T12:00:00Z"/>
        <d v="2026-02-12T22:00:00Z"/>
        <d v="2026-03-03T00:00:00Z"/>
        <d v="2026-01-27T00:00:00Z"/>
        <d v="2026-01-12T09:00:00Z"/>
        <d v="2026-01-25T19:00:00Z"/>
        <d v="2026-03-10T02:00:00Z"/>
        <d v="2026-01-04T09:00:00Z"/>
        <d v="2026-02-18T15:00:00Z"/>
        <d v="2026-02-12T01:00:00Z"/>
        <d v="2026-03-19T12:00:00Z"/>
        <d v="2026-03-19T04:00:00Z"/>
        <d v="2026-01-23T17:00:00Z"/>
        <d v="2026-02-21T23:00:00Z"/>
        <d v="2026-01-08T23:00:00Z"/>
        <d v="2026-02-18T23:00:00Z"/>
        <d v="2026-01-07T09:00:00Z"/>
        <d v="2026-02-05T22:00:00Z"/>
        <d v="2026-01-12T04:00:00Z"/>
        <d v="2026-02-26T16:00:00Z"/>
        <d v="2026-02-16T21:00:00Z"/>
        <d v="2026-03-21T20:00:00Z"/>
        <d v="2026-01-16T05:00:00Z"/>
        <d v="2026-03-18T06:00:00Z"/>
        <d v="2026-02-09T00:00:00Z"/>
        <d v="2026-01-25T00:00:00Z"/>
        <d v="2026-01-19T08:00:00Z"/>
        <d v="2026-02-17T16:00:00Z"/>
        <d v="2026-03-13T03:00:00Z"/>
        <d v="2026-01-02T12:00:00Z"/>
        <d v="2026-03-18T16:00:00Z"/>
        <d v="2026-02-26T11:00:00Z"/>
        <d v="2026-03-23T13:00:00Z"/>
        <d v="2026-03-10T11:00:00Z"/>
        <d v="2026-02-20T20:00:00Z"/>
        <d v="2026-03-20T02:00:00Z"/>
        <d v="2026-01-29T21:00:00Z"/>
        <d v="2026-03-13T00:00:00Z"/>
        <d v="2026-02-10T15:00:00Z"/>
        <d v="2026-02-27T05:00:00Z"/>
        <d v="2026-03-19T20:00:00Z"/>
        <d v="2026-01-24T13:00:00Z"/>
        <d v="2026-01-23T11:00:00Z"/>
        <d v="2026-03-12T16:00:00Z"/>
        <d v="2026-03-01T07:00:00Z"/>
        <d v="2026-03-14T08:00:00Z"/>
        <d v="2026-02-25T21:00:00Z"/>
        <d v="2026-02-20T17:00:00Z"/>
        <d v="2026-02-12T00:00:00Z"/>
        <d v="2026-03-08T20:00:00Z"/>
        <d v="2026-02-02T07:00:00Z"/>
        <d v="2026-03-03T07:00:00Z"/>
        <d v="2026-02-06T23:00:00Z"/>
        <d v="2026-02-13T07:00:00Z"/>
        <d v="2026-03-08T21:00:00Z"/>
        <d v="2026-01-31T08:00:00Z"/>
        <d v="2026-03-03T04:00:00Z"/>
        <d v="2026-02-16T12:00:00Z"/>
        <d v="2026-02-14T16:00:00Z"/>
        <d v="2026-03-12T13:00:00Z"/>
        <d v="2026-01-23T16:00:00Z"/>
        <d v="2026-01-04T14:00:00Z"/>
        <d v="2026-03-10T10:00:00Z"/>
        <d v="2026-03-22T19:00:00Z"/>
        <d v="2026-01-12T03:00:00Z"/>
        <d v="2026-01-21T05:00:00Z"/>
        <d v="2026-01-10T01:00:00Z"/>
        <d v="2026-02-28T01:00:00Z"/>
        <d v="2026-03-11T23:00:00Z"/>
        <d v="2026-01-23T23:00:00Z"/>
        <d v="2026-02-16T23:00:00Z"/>
        <d v="2026-01-09T04:00:00Z"/>
        <d v="2026-01-03T19:00:00Z"/>
        <d v="2026-02-01T12:00:00Z"/>
        <d v="2026-02-16T02:00:00Z"/>
        <d v="2026-02-03T20:00:00Z"/>
        <d v="2026-02-11T14:00:00Z"/>
        <d v="2026-02-23T02:00:00Z"/>
        <d v="2026-01-11T21:00:00Z"/>
        <d v="2026-01-10T02:00:00Z"/>
        <d v="2026-01-18T08:00:00Z"/>
        <d v="2026-03-07T10:00:00Z"/>
        <d v="2026-01-04T20:00:00Z"/>
        <d v="2026-03-02T04:00:00Z"/>
        <d v="2026-01-07T10:00:00Z"/>
        <d v="2026-01-18T12:00:00Z"/>
        <d v="2026-02-15T08:00:00Z"/>
        <d v="2026-03-10T13:00:00Z"/>
        <d v="2026-02-05T06:00:00Z"/>
        <d v="2026-01-10T23:00:00Z"/>
        <d v="2026-01-12T14:00:00Z"/>
        <d v="2026-03-08T22:00:00Z"/>
        <d v="2026-01-05T18:00:00Z"/>
        <d v="2026-01-22T02:00:00Z"/>
        <d v="2026-02-07T13:00:00Z"/>
        <d v="2026-03-16T13:00:00Z"/>
        <d v="2026-01-16T01:00:00Z"/>
        <d v="2026-02-22T04:00:00Z"/>
        <d v="2026-03-10T20:00:00Z"/>
        <d v="2026-02-22T05:00:00Z"/>
        <d v="2026-01-22T21:00:00Z"/>
        <d v="2026-03-04T12:00:00Z"/>
        <d v="2026-01-17T11:00:00Z"/>
        <d v="2026-03-22T06:00:00Z"/>
        <d v="2026-03-04T10:00:00Z"/>
        <d v="2026-02-23T05:00:00Z"/>
        <d v="2026-02-27T09:00:00Z"/>
        <d v="2026-03-19T09:00:00Z"/>
        <d v="2026-02-11T01:00:00Z"/>
        <d v="2026-03-17T11:00:00Z"/>
        <d v="2026-01-27T08:00:00Z"/>
        <d v="2026-01-31T21:00:00Z"/>
        <d v="2026-02-27T06:00:00Z"/>
        <d v="2026-02-06T06:00:00Z"/>
        <d v="2026-01-19T00:00:00Z"/>
        <d v="2026-02-13T12:00:00Z"/>
        <d v="2026-01-01T17:00:00Z"/>
        <d v="2026-02-15T01:00:00Z"/>
        <d v="2026-01-18T03:00:00Z"/>
        <d v="2026-02-18T05:00:00Z"/>
        <d v="2026-03-24T20:00:00Z"/>
        <d v="2026-01-23T13:00:00Z"/>
        <d v="2026-03-14T03:00:00Z"/>
        <d v="2026-03-03T15:00:00Z"/>
        <d v="2026-01-10T07:00:00Z"/>
        <d v="2026-02-03T08:00:00Z"/>
        <d v="2026-03-10T23:00:00Z"/>
        <d v="2026-03-01T02:00:00Z"/>
        <d v="2026-03-19T06:00:00Z"/>
        <d v="2026-03-22T16:00:00Z"/>
        <d v="2026-02-21T03:00:00Z"/>
        <d v="2026-03-21T09:00:00Z"/>
        <d v="2026-02-01T17:00:00Z"/>
        <d v="2026-02-21T08:00:00Z"/>
        <d v="2026-03-05T08:00:00Z"/>
        <d v="2026-01-24T14:00:00Z"/>
        <d v="2026-02-20T13:00:00Z"/>
        <d v="2026-02-06T08:00:00Z"/>
        <d v="2026-01-10T21:00:00Z"/>
        <d v="2026-01-26T21:00:00Z"/>
        <d v="2026-03-15T12:00:00Z"/>
        <d v="2026-03-07T02:00:00Z"/>
        <d v="2026-01-31T15:00:00Z"/>
        <d v="2026-01-02T08:00:00Z"/>
        <d v="2026-01-25T08:00:00Z"/>
        <d v="2026-02-19T04:00:00Z"/>
        <d v="2026-01-13T03:00:00Z"/>
        <d v="2026-02-10T18:00:00Z"/>
        <d v="2026-02-04T11:00:00Z"/>
        <d v="2026-01-09T09:00:00Z"/>
        <d v="2026-02-22T12:00:00Z"/>
        <d v="2026-02-12T20:00:00Z"/>
        <d v="2026-02-06T13:00:00Z"/>
        <d v="2026-03-01T16:00:00Z"/>
        <d v="2026-02-13T06:00:00Z"/>
        <d v="2026-03-14T10:00:00Z"/>
        <d v="2026-03-14T21:00:00Z"/>
        <d v="2026-03-03T18:00:00Z"/>
        <d v="2026-03-02T06:00:00Z"/>
        <d v="2026-03-07T22:00:00Z"/>
        <d v="2026-01-20T08:00:00Z"/>
        <d v="2026-02-08T19:00:00Z"/>
        <d v="2026-01-11T23:00:00Z"/>
        <d v="2026-02-06T07:00:00Z"/>
        <d v="2026-01-19T20:00:00Z"/>
        <d v="2026-01-10T09:00:00Z"/>
        <d v="2026-01-27T15:00:00Z"/>
        <d v="2026-01-10T22:00:00Z"/>
        <d v="2026-02-17T08:00:00Z"/>
        <d v="2026-02-21T15:00:00Z"/>
        <d v="2026-03-22T13:00:00Z"/>
        <d v="2026-02-05T09:00:00Z"/>
        <d v="2026-03-14T17:00:00Z"/>
        <d v="2026-01-15T18:00:00Z"/>
        <d v="2026-01-14T15:00:00Z"/>
        <d v="2026-01-01T14:00:00Z"/>
        <d v="2026-01-30T03:00:00Z"/>
        <d v="2026-02-16T05:00:00Z"/>
        <d v="2026-01-09T23:00:00Z"/>
        <d v="2026-03-16T05:00:00Z"/>
        <d v="2026-02-13T11:00:00Z"/>
        <d v="2026-01-05T17:00:00Z"/>
        <d v="2026-01-17T03:00:00Z"/>
        <d v="2026-03-07T20:00:00Z"/>
        <d v="2026-01-05T21:00:00Z"/>
        <d v="2026-01-28T17:00:00Z"/>
        <d v="2026-03-01T13:00:00Z"/>
        <d v="2026-01-18T16:00:00Z"/>
        <d v="2026-02-23T17:00:00Z"/>
        <d v="2026-02-19T01:00:00Z"/>
        <d v="2026-03-19T10:00:00Z"/>
        <d v="2026-02-24T19:00:00Z"/>
        <d v="2026-01-06T02:00:00Z"/>
        <d v="2026-02-28T23:00:00Z"/>
        <d v="2026-02-11T21:00:00Z"/>
        <d v="2026-03-25T03:00:00Z"/>
        <d v="2026-01-18T11:00:00Z"/>
        <d v="2026-01-20T12:00:00Z"/>
        <d v="2026-02-23T16:00:00Z"/>
        <d v="2026-02-01T22:00:00Z"/>
        <d v="2026-01-01T13:00:00Z"/>
        <d v="2026-03-22T21:00:00Z"/>
        <d v="2026-02-02T08:00:00Z"/>
        <d v="2026-03-22T17:00:00Z"/>
        <d v="2026-02-27T13:00:00Z"/>
        <d v="2026-02-09T20:00:00Z"/>
        <d v="2026-02-19T07:00:00Z"/>
        <d v="2026-02-04T13:00:00Z"/>
        <d v="2026-02-18T11:00:00Z"/>
        <d v="2026-01-21T12:00:00Z"/>
        <d v="2026-02-05T04:00:00Z"/>
        <d v="2026-03-06T14:00:00Z"/>
        <d v="2026-02-20T16:00:00Z"/>
        <d v="2026-02-23T07:00:00Z"/>
        <d v="2026-03-09T14:00:00Z"/>
        <d v="2026-03-24T05:00:00Z"/>
        <d v="2026-02-28T20:00:00Z"/>
        <d v="2026-01-28T21:00:00Z"/>
        <d v="2026-01-18T17:00:00Z"/>
        <d v="2026-02-09T09:00:00Z"/>
        <d v="2026-01-13T12:00:00Z"/>
        <d v="2026-01-16T06:00:00Z"/>
        <d v="2026-03-12T19:00:00Z"/>
        <d v="2026-02-01T00:00:00Z"/>
        <d v="2026-03-20T15:00:00Z"/>
        <d v="2026-03-19T21:00:00Z"/>
        <d v="2026-03-12T11:00:00Z"/>
        <d v="2026-02-08T06:00:00Z"/>
        <d v="2026-03-08T15:00:00Z"/>
        <d v="2026-01-28T08:00:00Z"/>
        <d v="2026-01-13T17:00:00Z"/>
        <d v="2026-03-06T19:00:00Z"/>
        <d v="2026-02-25T00:00:00Z"/>
        <d v="2026-01-24T10:00:00Z"/>
        <d v="2026-03-06T22:00:00Z"/>
        <d v="2026-03-24T12:00:00Z"/>
        <d v="2026-02-14T20:00:00Z"/>
        <d v="2026-02-13T19:00:00Z"/>
        <d v="2026-01-09T15:00:00Z"/>
        <d v="2026-03-07T11:00:00Z"/>
        <d v="2026-03-23T04:00:00Z"/>
        <d v="2026-03-05T15:00:00Z"/>
        <d v="2026-01-06T03:00:00Z"/>
        <d v="2026-01-11T19:00:00Z"/>
        <d v="2026-03-15T08:00:00Z"/>
        <d v="2026-03-18T17:00:00Z"/>
        <d v="2026-01-23T12:00:00Z"/>
        <d v="2026-03-02T23:00:00Z"/>
        <d v="2026-03-05T01:00:00Z"/>
        <d v="2026-03-17T20:00:00Z"/>
        <d v="2026-03-23T23:00:00Z"/>
        <d v="2026-01-31T14:00:00Z"/>
        <d v="2026-02-01T20:00:00Z"/>
        <d v="2026-02-16T00:00:00Z"/>
        <d v="2026-01-13T00:00:00Z"/>
        <d v="2026-02-01T05:00:00Z"/>
        <d v="2026-01-05T19:00:00Z"/>
        <d v="2026-03-16T10:00:00Z"/>
        <d v="2026-01-08T21:00:00Z"/>
        <d v="2026-01-16T23:00:00Z"/>
        <d v="2026-02-20T21:00:00Z"/>
        <d v="2026-02-17T14:00:00Z"/>
        <d v="2026-01-03T21:00:00Z"/>
        <d v="2026-01-07T07:00:00Z"/>
        <d v="2026-03-14T12:00:00Z"/>
        <d v="2026-02-28T10:00:00Z"/>
        <d v="2026-02-22T06:00:00Z"/>
        <d v="2026-03-03T11:00:00Z"/>
        <d v="2026-02-28T17:00:00Z"/>
        <d v="2026-03-09T22:00:00Z"/>
        <d v="2026-01-01T03:00:00Z"/>
        <d v="2026-03-21T03:00:00Z"/>
        <d v="2026-03-20T12:00:00Z"/>
        <d v="2026-02-28T15:00:00Z"/>
        <d v="2026-01-07T08:00:00Z"/>
        <d v="2026-01-22T16:00:00Z"/>
        <d v="2026-02-03T12:00:00Z"/>
        <d v="2026-03-20T19:00:00Z"/>
        <d v="2026-02-04T16:00:00Z"/>
        <d v="2026-01-19T10:00:00Z"/>
        <d v="2026-03-13T21:00:00Z"/>
        <d v="2026-02-22T11:00:00Z"/>
        <d v="2026-02-28T00:00:00Z"/>
        <d v="2026-01-28T03:00:00Z"/>
        <d v="2026-02-04T12:00:00Z"/>
        <d v="2026-03-01T18:00:00Z"/>
        <d v="2026-01-08T00:00:00Z"/>
        <d v="2026-01-06T16:00:00Z"/>
        <d v="2026-02-13T09:00:00Z"/>
        <d v="2026-03-17T07:00:00Z"/>
        <d v="2026-02-21T05:00:00Z"/>
        <d v="2026-01-29T07:00:00Z"/>
        <d v="2026-01-04T15:00:00Z"/>
        <d v="2026-01-18T06:00:00Z"/>
        <d v="2026-01-16T04:00:00Z"/>
        <d v="2026-03-05T04:00:00Z"/>
        <d v="2026-02-10T07:00:00Z"/>
        <d v="2026-03-10T22:00:00Z"/>
        <d v="2026-03-23T10:00:00Z"/>
        <d v="2026-01-02T23:00:00Z"/>
        <d v="2026-01-28T23:00:00Z"/>
        <d v="2026-01-01T21:00:00Z"/>
        <d v="2026-03-10T17:00:00Z"/>
        <d v="2026-01-18T01:00:00Z"/>
        <d v="2026-01-10T06:00:00Z"/>
        <d v="2026-01-29T13:00:00Z"/>
        <d v="2026-03-09T16:00:00Z"/>
        <d v="2026-02-05T07:00:00Z"/>
        <d v="2026-03-15T23:00:00Z"/>
        <d v="2026-03-01T08:00:00Z"/>
        <d v="2026-03-18T12:00:00Z"/>
        <d v="2026-01-02T07:00:00Z"/>
        <d v="2026-02-10T12:00:00Z"/>
        <d v="2026-03-21T17:00:00Z"/>
        <d v="2026-03-16T14:00:00Z"/>
        <d v="2026-03-11T15:00:00Z"/>
        <d v="2026-01-19T12:00:00Z"/>
        <d v="2026-02-25T19:00:00Z"/>
        <d v="2026-02-19T12:00:00Z"/>
        <d v="2026-02-21T06:00:00Z"/>
        <d v="2026-03-19T02:00:00Z"/>
        <d v="2026-02-15T22:00:00Z"/>
        <d v="2026-02-28T03:00:00Z"/>
        <d v="2026-02-06T00:00:00Z"/>
        <d v="2026-01-15T21:00:00Z"/>
        <d v="2026-01-11T13:00:00Z"/>
        <d v="2026-03-11T20:00:00Z"/>
        <d v="2026-01-17T08:00:00Z"/>
        <d v="2026-02-10T16:00:00Z"/>
        <d v="2026-03-24T03:00:00Z"/>
        <d v="2026-03-01T00:00:00Z"/>
        <d v="2026-03-14T04:00:00Z"/>
        <d v="2026-01-11T08:00:00Z"/>
        <d v="2026-01-29T22:00:00Z"/>
        <d v="2026-02-14T05:00:00Z"/>
        <d v="2026-02-07T23:00:00Z"/>
        <d v="2026-02-13T22:00:00Z"/>
        <d v="2026-01-16T16:00:00Z"/>
        <d v="2026-01-08T14:00:00Z"/>
        <d v="2026-02-01T16:00:00Z"/>
        <d v="2026-03-09T01:00:00Z"/>
        <d v="2026-02-26T13:00:00Z"/>
        <d v="2026-03-21T04:00:00Z"/>
        <d v="2026-02-11T23:00:00Z"/>
        <d v="2026-01-27T03:00:00Z"/>
        <d v="2026-02-15T19:00:00Z"/>
        <d v="2026-01-11T05:00:00Z"/>
        <d v="2026-02-27T22:00:00Z"/>
        <d v="2026-01-20T15:00:00Z"/>
        <d v="2026-01-11T17:00:00Z"/>
        <d v="2026-03-24T07:00:00Z"/>
        <d v="2026-01-14T20:00:00Z"/>
        <d v="2026-01-29T16:00:00Z"/>
        <d v="2026-03-23T20:00:00Z"/>
        <d v="2026-01-24T17:00:00Z"/>
        <d v="2026-02-28T16:00:00Z"/>
        <d v="2026-01-17T13:00:00Z"/>
        <d v="2026-02-04T21:00:00Z"/>
        <d v="2026-03-08T00:00:00Z"/>
        <d v="2026-02-25T14:00:00Z"/>
        <d v="2026-01-03T14:00:00Z"/>
        <d v="2026-02-24T06:00:00Z"/>
        <d v="2026-03-07T00:00:00Z"/>
        <d v="2026-03-08T18:00:00Z"/>
        <d v="2026-02-25T18:00:00Z"/>
        <d v="2026-03-15T05:00:00Z"/>
        <d v="2026-03-01T17:00:00Z"/>
        <d v="2026-01-10T17:00:00Z"/>
        <d v="2026-01-21T18:00:00Z"/>
        <d v="2026-02-25T17:00:00Z"/>
        <d v="2026-02-20T03:00:00Z"/>
        <d v="2026-03-09T00:00:00Z"/>
        <d v="2026-02-24T07:00:00Z"/>
        <d v="2026-01-12T23:00:00Z"/>
        <d v="2026-01-12T12:00:00Z"/>
        <d v="2026-01-03T20:00:00Z"/>
        <d v="2026-02-11T03:00:00Z"/>
        <d v="2026-02-16T09:00:00Z"/>
        <d v="2026-01-22T01:00:00Z"/>
        <d v="2026-03-02T13:00:00Z"/>
        <d v="2026-01-01T19:00:00Z"/>
        <d v="2026-03-24T21:00:00Z"/>
        <d v="2026-02-04T09:00:00Z"/>
        <d v="2026-02-15T07:00:00Z"/>
        <d v="2026-02-01T21:00:00Z"/>
        <d v="2026-01-05T05:00:00Z"/>
        <d v="2026-01-21T10:00:00Z"/>
        <d v="2026-03-05T11:00:00Z"/>
        <d v="2026-02-12T23:00:00Z"/>
        <d v="2026-03-19T03:00:00Z"/>
        <d v="2026-01-18T13:00:00Z"/>
        <d v="2026-01-29T23:00:00Z"/>
        <d v="2026-03-15T03:00:00Z"/>
        <d v="2026-02-19T22:00:00Z"/>
        <d v="2026-01-10T08:00:00Z"/>
        <d v="2026-01-03T01:00:00Z"/>
        <d v="2026-01-07T22:00:00Z"/>
        <d v="2026-01-05T12:00:00Z"/>
        <d v="2026-03-17T14:00:00Z"/>
        <d v="2026-02-08T16:00:00Z"/>
        <d v="2026-01-18T19:00:00Z"/>
        <d v="2026-01-08T18:00:00Z"/>
        <d v="2026-03-16T23:00:00Z"/>
        <d v="2026-02-05T14:00:00Z"/>
        <d v="2026-03-11T22:00:00Z"/>
        <d v="2026-02-02T00:00:00Z"/>
        <d v="2026-03-23T01:00:00Z"/>
        <d v="2026-01-21T17:00:00Z"/>
        <d v="2026-03-22T00:00:00Z"/>
        <d v="2026-02-04T01:00:00Z"/>
        <d v="2026-02-28T11:00:00Z"/>
        <d v="2026-02-16T07:00:00Z"/>
        <d v="2026-03-05T09:00:00Z"/>
        <d v="2026-01-14T13:00:00Z"/>
        <d v="2026-03-12T20:00:00Z"/>
        <d v="2026-02-01T09:00:00Z"/>
        <d v="2026-03-10T21:00:00Z"/>
        <d v="2026-01-23T05:00:00Z"/>
        <d v="2026-02-14T06:00:00Z"/>
        <d v="2026-01-16T19:00:00Z"/>
        <d v="2026-02-26T14:00:00Z"/>
        <d v="2026-01-27T17:00:00Z"/>
        <d v="2026-01-16T09:00:00Z"/>
        <d v="2026-03-11T05:00:00Z"/>
        <d v="2026-03-15T04:00:00Z"/>
        <d v="2026-02-03T18:00:00Z"/>
        <d v="2026-03-10T18:00:00Z"/>
        <d v="2026-02-08T18:00:00Z"/>
        <d v="2026-01-15T12:00:00Z"/>
        <d v="2026-02-10T09:00:00Z"/>
        <d v="2026-01-21T22:00:00Z"/>
        <d v="2026-02-16T19:00:00Z"/>
        <d v="2026-02-17T21:00:00Z"/>
        <d v="2026-02-02T02:00:00Z"/>
        <d v="2026-03-04T17:00:00Z"/>
        <d v="2026-03-12T18:00:00Z"/>
        <d v="2026-02-12T03:00:00Z"/>
        <d v="2026-02-11T00:00:00Z"/>
        <d v="2026-02-07T17:00:00Z"/>
        <d v="2026-02-12T16:00:00Z"/>
        <d v="2026-03-04T04:00:00Z"/>
        <d v="2026-01-01T02:00:00Z"/>
        <d v="2026-01-16T21:00:00Z"/>
        <d v="2026-02-05T21:00:00Z"/>
        <d v="2026-02-25T15:00:00Z"/>
        <d v="2026-02-01T23:00:00Z"/>
        <d v="2026-02-27T07:00:00Z"/>
        <d v="2026-01-15T20:00:00Z"/>
        <d v="2026-01-18T23:00:00Z"/>
        <d v="2026-02-23T20:00:00Z"/>
        <d v="2026-02-28T08:00:00Z"/>
        <d v="2026-01-13T22:00:00Z"/>
        <d v="2026-02-03T06:00:00Z"/>
        <d v="2026-02-26T09:00:00Z"/>
        <d v="2026-02-04T19:00:00Z"/>
        <d v="2026-01-03T22:00:00Z"/>
      </sharedItems>
    </cacheField>
    <cacheField name="resolved_date_time2" numFmtId="164">
      <sharedItems containsSemiMixedTypes="0" containsDate="1" containsString="0">
        <d v="2026-02-16T01:00:00Z"/>
        <d v="2026-01-11T04:00:00Z"/>
        <d v="2026-02-17T15:00:00Z"/>
        <d v="2026-02-03T19:00:00Z"/>
        <d v="2026-02-28T02:00:00Z"/>
        <d v="2026-02-23T13:00:00Z"/>
        <d v="2026-02-13T13:00:00Z"/>
        <d v="2026-02-12T00:00:00Z"/>
        <d v="2026-01-15T10:00:00Z"/>
        <d v="2026-03-09T00:00:00Z"/>
        <d v="2026-01-28T04:00:00Z"/>
        <d v="2026-02-04T09:00:00Z"/>
        <d v="2026-03-18T05:00:00Z"/>
        <d v="2026-02-17T17:00:00Z"/>
        <d v="2026-01-07T06:00:00Z"/>
        <d v="2026-01-31T07:00:00Z"/>
        <d v="2026-03-16T19:00:00Z"/>
        <d v="2026-01-13T05:00:00Z"/>
        <d v="2026-01-24T18:00:00Z"/>
        <d v="2026-02-12T16:00:00Z"/>
        <d v="2026-01-13T14:00:00Z"/>
        <d v="2026-02-09T06:00:00Z"/>
        <d v="2026-01-11T11:00:00Z"/>
        <d v="2026-01-15T01:00:00Z"/>
        <d v="2026-02-16T16:00:00Z"/>
        <d v="2026-03-04T11:00:00Z"/>
        <d v="2026-01-11T15:00:00Z"/>
        <d v="2026-02-20T20:00:00Z"/>
        <d v="2026-02-01T13:00:00Z"/>
        <d v="2026-01-05T05:00:00Z"/>
        <d v="2026-01-09T07:00:00Z"/>
        <d v="2026-02-26T23:00:00Z"/>
        <d v="2026-03-27T23:00:00Z"/>
        <d v="2026-03-03T05:00:00Z"/>
        <d v="2026-02-11T21:00:00Z"/>
        <d v="2026-02-07T23:00:00Z"/>
        <d v="2026-01-28T11:00:00Z"/>
        <d v="2026-01-05T00:00:00Z"/>
        <d v="2026-03-18T23:00:00Z"/>
        <d v="2026-01-30T06:00:00Z"/>
        <d v="2026-03-01T07:00:00Z"/>
        <d v="2026-02-21T18:00:00Z"/>
        <d v="2026-03-03T17:00:00Z"/>
        <d v="2026-03-21T08:00:00Z"/>
        <d v="2026-02-22T10:00:00Z"/>
        <d v="2026-01-27T04:00:00Z"/>
        <d v="2026-01-05T07:00:00Z"/>
        <d v="2026-02-24T16:00:00Z"/>
        <d v="2026-03-02T00:00:00Z"/>
        <d v="2026-02-20T23:00:00Z"/>
        <d v="2026-01-04T18:00:00Z"/>
        <d v="2026-02-19T20:00:00Z"/>
        <d v="2026-02-24T01:00:00Z"/>
        <d v="2026-02-14T06:00:00Z"/>
        <d v="2026-01-12T16:00:00Z"/>
        <d v="2026-01-22T18:00:00Z"/>
        <d v="2026-03-10T05:00:00Z"/>
        <d v="2026-02-05T20:00:00Z"/>
        <d v="2026-03-18T06:00:00Z"/>
        <d v="2026-02-21T08:00:00Z"/>
        <d v="2026-01-10T20:00:00Z"/>
        <d v="2026-02-19T03:00:00Z"/>
        <d v="2026-02-26T13:00:00Z"/>
        <d v="2026-02-17T10:00:00Z"/>
        <d v="2026-01-12T02:00:00Z"/>
        <d v="2026-02-14T19:00:00Z"/>
        <d v="2026-03-17T23:00:00Z"/>
        <d v="2026-02-20T11:00:00Z"/>
        <d v="2026-01-05T16:00:00Z"/>
        <d v="2026-01-07T22:00:00Z"/>
        <d v="2026-01-31T00:00:00Z"/>
        <d v="2026-03-19T05:00:00Z"/>
        <d v="2026-01-27T14:00:00Z"/>
        <d v="2026-03-11T02:00:00Z"/>
        <d v="2026-02-10T22:00:00Z"/>
        <d v="2026-03-03T16:00:00Z"/>
        <d v="2026-02-19T17:00:00Z"/>
        <d v="2026-01-10T09:00:00Z"/>
        <d v="2026-02-03T14:00:00Z"/>
        <d v="2026-01-20T22:00:00Z"/>
        <d v="2026-01-23T07:00:00Z"/>
        <d v="2026-02-16T11:00:00Z"/>
        <d v="2026-02-18T17:00:00Z"/>
        <d v="2026-02-09T15:00:00Z"/>
        <d v="2026-02-08T21:00:00Z"/>
        <d v="2026-03-19T13:00:00Z"/>
        <d v="2026-03-18T16:00:00Z"/>
        <d v="2026-03-21T20:00:00Z"/>
        <d v="2026-01-31T17:00:00Z"/>
        <d v="2026-02-27T11:00:00Z"/>
        <d v="2026-01-19T16:00:00Z"/>
        <d v="2026-02-15T17:00:00Z"/>
        <d v="2026-01-16T19:00:00Z"/>
        <d v="2026-02-03T01:00:00Z"/>
        <d v="2026-01-16T11:00:00Z"/>
        <d v="2026-03-20T22:00:00Z"/>
        <d v="2026-02-10T04:00:00Z"/>
        <d v="2026-02-26T11:00:00Z"/>
        <d v="2026-03-05T11:00:00Z"/>
        <d v="2026-02-01T21:00:00Z"/>
        <d v="2026-02-14T00:00:00Z"/>
        <d v="2026-01-13T07:00:00Z"/>
        <d v="2026-01-29T20:00:00Z"/>
        <d v="2026-02-12T12:00:00Z"/>
        <d v="2026-01-28T22:00:00Z"/>
        <d v="2026-03-18T21:00:00Z"/>
        <d v="2026-03-15T03:00:00Z"/>
        <d v="2026-02-04T20:00:00Z"/>
        <d v="2026-02-20T02:00:00Z"/>
        <d v="2026-02-10T13:00:00Z"/>
        <d v="2026-01-25T01:00:00Z"/>
        <d v="2026-03-26T20:00:00Z"/>
        <d v="2026-02-22T16:00:00Z"/>
        <d v="2026-02-14T16:00:00Z"/>
        <d v="2026-03-16T14:00:00Z"/>
        <d v="2026-01-14T05:00:00Z"/>
        <d v="2026-02-08T16:00:00Z"/>
        <d v="2026-01-28T10:00:00Z"/>
        <d v="2026-01-22T22:00:00Z"/>
        <d v="2026-01-18T04:00:00Z"/>
        <d v="2026-02-04T13:00:00Z"/>
        <d v="2026-02-06T19:00:00Z"/>
        <d v="2026-03-22T03:00:00Z"/>
        <d v="2026-01-22T08:00:00Z"/>
        <d v="2026-03-05T02:00:00Z"/>
        <d v="2026-01-31T08:00:00Z"/>
        <d v="2026-03-25T18:00:00Z"/>
        <d v="2026-02-01T03:00:00Z"/>
        <d v="2026-01-10T07:00:00Z"/>
        <d v="2026-02-28T19:00:00Z"/>
        <d v="2026-02-23T23:00:00Z"/>
        <d v="2026-01-18T23:00:00Z"/>
        <d v="2026-01-26T06:00:00Z"/>
        <d v="2026-02-18T12:00:00Z"/>
        <d v="2026-02-19T12:00:00Z"/>
        <d v="2026-01-18T19:00:00Z"/>
        <d v="2026-02-26T21:00:00Z"/>
        <d v="2026-01-13T17:00:00Z"/>
        <d v="2026-03-19T22:00:00Z"/>
        <d v="2026-01-15T23:00:00Z"/>
        <d v="2026-03-14T11:00:00Z"/>
        <d v="2026-01-07T18:00:00Z"/>
        <d v="2026-02-01T14:00:00Z"/>
        <d v="2026-02-04T08:00:00Z"/>
        <d v="2026-03-05T00:00:00Z"/>
        <d v="2026-01-30T20:00:00Z"/>
        <d v="2026-02-27T03:00:00Z"/>
        <d v="2026-01-16T06:00:00Z"/>
        <d v="2026-01-26T12:00:00Z"/>
        <d v="2026-03-10T14:00:00Z"/>
        <d v="2026-03-10T01:00:00Z"/>
        <d v="2026-03-22T20:00:00Z"/>
        <d v="2026-01-23T11:00:00Z"/>
        <d v="2026-01-02T15:00:00Z"/>
        <d v="2026-01-24T20:00:00Z"/>
        <d v="2026-03-18T20:00:00Z"/>
        <d v="2026-03-04T03:00:00Z"/>
        <d v="2026-02-10T16:00:00Z"/>
        <d v="2026-01-29T06:00:00Z"/>
        <d v="2026-02-17T01:00:00Z"/>
        <d v="2026-03-21T15:00:00Z"/>
        <d v="2026-01-04T23:00:00Z"/>
        <d v="2026-03-21T00:00:00Z"/>
        <d v="2026-03-24T07:00:00Z"/>
        <d v="2026-03-12T02:00:00Z"/>
        <d v="2026-03-21T10:00:00Z"/>
        <d v="2026-02-24T13:00:00Z"/>
        <d v="2026-03-27T03:00:00Z"/>
        <d v="2026-03-24T02:00:00Z"/>
        <d v="2026-01-19T09:00:00Z"/>
        <d v="2026-02-11T08:00:00Z"/>
        <d v="2026-02-17T16:00:00Z"/>
        <d v="2026-02-15T13:00:00Z"/>
        <d v="2026-01-29T02:00:00Z"/>
        <d v="2026-02-01T15:00:00Z"/>
        <d v="2026-02-18T10:00:00Z"/>
        <d v="2026-02-06T12:00:00Z"/>
        <d v="2026-01-08T01:00:00Z"/>
        <d v="2026-01-20T19:00:00Z"/>
        <d v="2026-01-06T15:00:00Z"/>
        <d v="2026-01-27T07:00:00Z"/>
        <d v="2026-02-11T05:00:00Z"/>
        <d v="2026-03-23T19:00:00Z"/>
        <d v="2026-02-27T12:00:00Z"/>
        <d v="2026-01-07T08:00:00Z"/>
        <d v="2026-03-12T11:00:00Z"/>
        <d v="2026-02-11T03:00:00Z"/>
        <d v="2026-02-28T17:00:00Z"/>
        <d v="2026-01-23T16:00:00Z"/>
        <d v="2026-01-18T09:00:00Z"/>
        <d v="2026-03-06T22:00:00Z"/>
        <d v="2026-03-26T21:00:00Z"/>
        <d v="2026-03-09T08:00:00Z"/>
        <d v="2026-01-17T21:00:00Z"/>
        <d v="2026-01-24T22:00:00Z"/>
        <d v="2026-03-10T16:00:00Z"/>
        <d v="2026-01-11T13:00:00Z"/>
        <d v="2026-01-04T15:00:00Z"/>
        <d v="2026-01-23T06:00:00Z"/>
        <d v="2026-03-03T08:00:00Z"/>
        <d v="2026-01-03T04:00:00Z"/>
        <d v="2026-01-13T06:00:00Z"/>
        <d v="2026-03-12T18:00:00Z"/>
        <d v="2026-02-05T06:00:00Z"/>
        <d v="2026-03-16T06:00:00Z"/>
        <d v="2026-02-06T17:00:00Z"/>
        <d v="2026-02-11T02:00:00Z"/>
        <d v="2026-01-19T07:00:00Z"/>
        <d v="2026-02-01T04:00:00Z"/>
        <d v="2026-01-13T16:00:00Z"/>
        <d v="2026-01-22T20:00:00Z"/>
        <d v="2026-02-14T22:00:00Z"/>
        <d v="2026-02-13T17:00:00Z"/>
        <d v="2026-01-12T04:00:00Z"/>
        <d v="2026-02-04T14:00:00Z"/>
        <d v="2026-01-11T03:00:00Z"/>
        <d v="2026-03-06T06:00:00Z"/>
        <d v="2026-02-03T07:00:00Z"/>
        <d v="2026-01-16T17:00:00Z"/>
        <d v="2026-01-18T00:00:00Z"/>
        <d v="2026-02-27T05:00:00Z"/>
        <d v="2026-03-04T21:00:00Z"/>
        <d v="2026-03-05T22:00:00Z"/>
        <d v="2026-01-15T14:00:00Z"/>
        <d v="2026-01-28T05:00:00Z"/>
        <d v="2026-01-05T21:00:00Z"/>
        <d v="2026-03-25T02:00:00Z"/>
        <d v="2026-02-09T17:00:00Z"/>
        <d v="2026-02-02T00:00:00Z"/>
        <d v="2026-03-01T02:00:00Z"/>
        <d v="2026-03-20T01:00:00Z"/>
        <d v="2026-01-20T21:00:00Z"/>
        <d v="2026-03-24T09:00:00Z"/>
        <d v="2026-01-11T01:00:00Z"/>
        <d v="2026-01-16T20:00:00Z"/>
        <d v="2026-02-02T18:00:00Z"/>
        <d v="2026-03-22T18:00:00Z"/>
        <d v="2026-01-28T16:00:00Z"/>
        <d v="2026-01-08T11:00:00Z"/>
        <d v="2026-03-11T00:00:00Z"/>
        <d v="2026-01-05T18:00:00Z"/>
        <d v="2026-02-10T03:00:00Z"/>
        <d v="2026-01-15T20:00:00Z"/>
        <d v="2026-03-06T23:00:00Z"/>
        <d v="2026-03-12T01:00:00Z"/>
        <d v="2026-01-22T06:00:00Z"/>
        <d v="2026-03-13T19:00:00Z"/>
        <d v="2026-02-08T05:00:00Z"/>
        <d v="2026-03-05T09:00:00Z"/>
        <d v="2026-02-03T23:00:00Z"/>
        <d v="2026-03-26T05:00:00Z"/>
        <d v="2026-02-18T23:00:00Z"/>
        <d v="2026-02-11T14:00:00Z"/>
        <d v="2026-03-26T06:00:00Z"/>
        <d v="2026-02-20T00:00:00Z"/>
        <d v="2026-02-26T06:00:00Z"/>
        <d v="2026-02-24T12:00:00Z"/>
        <d v="2026-01-10T18:00:00Z"/>
        <d v="2026-01-04T21:00:00Z"/>
        <d v="2026-03-07T10:00:00Z"/>
        <d v="2026-03-02T18:00:00Z"/>
        <d v="2026-02-23T03:00:00Z"/>
        <d v="2026-01-08T12:00:00Z"/>
        <d v="2026-02-06T06:00:00Z"/>
        <d v="2026-02-01T06:00:00Z"/>
        <d v="2026-03-24T06:00:00Z"/>
        <d v="2026-02-12T10:00:00Z"/>
        <d v="2026-02-12T20:00:00Z"/>
        <d v="2026-01-07T00:00:00Z"/>
        <d v="2026-01-28T21:00:00Z"/>
        <d v="2026-03-06T21:00:00Z"/>
        <d v="2026-01-24T14:00:00Z"/>
        <d v="2026-01-11T23:00:00Z"/>
        <d v="2026-02-05T13:00:00Z"/>
        <d v="2026-03-11T10:00:00Z"/>
        <d v="2026-01-23T01:00:00Z"/>
        <d v="2026-01-15T11:00:00Z"/>
        <d v="2026-01-24T19:00:00Z"/>
        <d v="2026-03-06T05:00:00Z"/>
        <d v="2026-01-30T02:00:00Z"/>
        <d v="2026-01-11T14:00:00Z"/>
        <d v="2026-03-05T03:00:00Z"/>
        <d v="2026-01-29T07:00:00Z"/>
        <d v="2026-03-25T21:00:00Z"/>
        <d v="2026-01-26T03:00:00Z"/>
        <d v="2026-03-06T19:00:00Z"/>
        <d v="2026-03-08T16:00:00Z"/>
        <d v="2026-01-06T00:00:00Z"/>
        <d v="2026-03-02T08:00:00Z"/>
        <d v="2026-02-23T07:00:00Z"/>
        <d v="2026-02-16T22:00:00Z"/>
        <d v="2026-02-04T16:00:00Z"/>
        <d v="2026-03-08T13:00:00Z"/>
        <d v="2026-01-16T13:00:00Z"/>
        <d v="2026-01-08T02:00:00Z"/>
        <d v="2026-01-06T14:00:00Z"/>
        <d v="2026-03-20T07:00:00Z"/>
        <d v="2026-01-25T20:00:00Z"/>
        <d v="2026-03-11T07:00:00Z"/>
        <d v="2026-01-26T16:00:00Z"/>
        <d v="2026-02-25T20:00:00Z"/>
        <d v="2026-01-30T17:00:00Z"/>
        <d v="2026-03-21T22:00:00Z"/>
        <d v="2026-01-23T14:00:00Z"/>
        <d v="2026-02-26T14:00:00Z"/>
        <d v="2026-02-04T12:00:00Z"/>
        <d v="2026-02-15T03:00:00Z"/>
        <d v="2026-02-21T19:00:00Z"/>
        <d v="2026-02-23T15:00:00Z"/>
        <d v="2026-01-06T05:00:00Z"/>
        <d v="2026-01-14T00:00:00Z"/>
        <d v="2026-01-10T13:00:00Z"/>
        <d v="2026-02-15T10:00:00Z"/>
        <d v="2026-01-19T22:00:00Z"/>
        <d v="2026-02-07T21:00:00Z"/>
        <d v="2026-02-21T23:00:00Z"/>
        <d v="2026-03-20T16:00:00Z"/>
        <d v="2026-03-25T22:00:00Z"/>
        <d v="2026-02-09T14:00:00Z"/>
        <d v="2026-01-30T00:00:00Z"/>
        <d v="2026-02-04T22:00:00Z"/>
        <d v="2026-02-23T04:00:00Z"/>
        <d v="2026-03-20T05:00:00Z"/>
        <d v="2026-03-02T03:00:00Z"/>
        <d v="2026-02-27T17:00:00Z"/>
        <d v="2026-02-27T22:00:00Z"/>
        <d v="2026-03-03T06:00:00Z"/>
        <d v="2026-03-15T06:00:00Z"/>
        <d v="2026-03-12T05:00:00Z"/>
        <d v="2026-03-08T00:00:00Z"/>
        <d v="2026-03-02T01:00:00Z"/>
        <d v="2026-03-23T14:00:00Z"/>
        <d v="2026-02-12T05:00:00Z"/>
        <d v="2026-03-02T11:00:00Z"/>
        <d v="2026-02-11T23:00:00Z"/>
        <d v="2026-03-06T15:00:00Z"/>
        <d v="2026-01-30T03:00:00Z"/>
        <d v="2026-01-15T19:00:00Z"/>
        <d v="2026-01-28T02:00:00Z"/>
        <d v="2026-01-27T22:00:00Z"/>
        <d v="2026-02-14T04:00:00Z"/>
        <d v="2026-03-21T07:00:00Z"/>
        <d v="2026-03-21T05:00:00Z"/>
        <d v="2026-02-12T13:00:00Z"/>
        <d v="2026-01-26T08:00:00Z"/>
        <d v="2026-02-25T00:00:00Z"/>
        <d v="2026-01-11T18:00:00Z"/>
        <d v="2026-02-22T19:00:00Z"/>
        <d v="2026-01-11T02:00:00Z"/>
        <d v="2026-02-08T10:00:00Z"/>
        <d v="2026-01-15T05:00:00Z"/>
        <d v="2026-03-01T19:00:00Z"/>
        <d v="2026-02-17T14:00:00Z"/>
        <d v="2026-01-10T06:00:00Z"/>
        <d v="2026-03-25T01:00:00Z"/>
        <d v="2026-01-19T08:00:00Z"/>
        <d v="2026-01-30T07:00:00Z"/>
        <d v="2026-02-11T10:00:00Z"/>
        <d v="2026-01-23T03:00:00Z"/>
        <d v="2026-02-20T07:00:00Z"/>
        <d v="2026-03-16T02:00:00Z"/>
        <d v="2026-03-26T01:00:00Z"/>
        <d v="2026-03-02T06:00:00Z"/>
        <d v="2026-03-24T01:00:00Z"/>
        <d v="2026-03-11T03:00:00Z"/>
        <d v="2026-02-02T03:00:00Z"/>
        <d v="2026-01-30T22:00:00Z"/>
        <d v="2026-03-14T02:00:00Z"/>
        <d v="2026-02-13T11:00:00Z"/>
        <d v="2026-02-12T02:00:00Z"/>
        <d v="2026-03-21T11:00:00Z"/>
        <d v="2026-03-23T16:00:00Z"/>
        <d v="2026-02-25T16:00:00Z"/>
        <d v="2026-03-16T03:00:00Z"/>
        <d v="2026-03-14T22:00:00Z"/>
        <d v="2026-03-14T06:00:00Z"/>
        <d v="2026-03-01T08:00:00Z"/>
        <d v="2026-02-21T16:00:00Z"/>
        <d v="2026-03-09T17:00:00Z"/>
        <d v="2026-02-03T16:00:00Z"/>
        <d v="2026-03-19T04:00:00Z"/>
        <d v="2026-01-30T19:00:00Z"/>
        <d v="2026-02-09T18:00:00Z"/>
        <d v="2026-03-04T08:00:00Z"/>
        <d v="2026-02-08T20:00:00Z"/>
        <d v="2026-02-17T00:00:00Z"/>
        <d v="2026-02-02T11:00:00Z"/>
        <d v="2026-03-05T19:00:00Z"/>
        <d v="2026-02-17T12:00:00Z"/>
        <d v="2026-03-12T09:00:00Z"/>
        <d v="2026-03-07T19:00:00Z"/>
        <d v="2026-03-15T20:00:00Z"/>
        <d v="2026-01-09T11:00:00Z"/>
        <d v="2026-03-04T04:00:00Z"/>
        <d v="2026-01-26T09:00:00Z"/>
        <d v="2026-01-07T21:00:00Z"/>
        <d v="2026-01-05T23:00:00Z"/>
        <d v="2026-03-11T04:00:00Z"/>
        <d v="2026-03-25T20:00:00Z"/>
        <d v="2026-01-16T01:00:00Z"/>
        <d v="2026-01-22T11:00:00Z"/>
        <d v="2026-01-13T11:00:00Z"/>
        <d v="2026-03-03T12:00:00Z"/>
        <d v="2026-03-14T18:00:00Z"/>
        <d v="2026-01-12T20:00:00Z"/>
        <d v="2026-01-27T21:00:00Z"/>
        <d v="2026-02-18T00:00:00Z"/>
        <d v="2026-01-05T12:00:00Z"/>
        <d v="2026-02-03T09:00:00Z"/>
        <d v="2026-02-05T00:00:00Z"/>
        <d v="2026-02-12T15:00:00Z"/>
        <d v="2026-02-24T04:00:00Z"/>
        <d v="2026-01-26T18:00:00Z"/>
        <d v="2026-01-12T00:00:00Z"/>
        <d v="2026-01-20T00:00:00Z"/>
        <d v="2026-03-11T06:00:00Z"/>
        <d v="2026-01-06T03:00:00Z"/>
        <d v="2026-03-02T20:00:00Z"/>
        <d v="2026-02-01T18:00:00Z"/>
        <d v="2026-02-03T06:00:00Z"/>
        <d v="2026-02-17T20:00:00Z"/>
        <d v="2026-03-12T03:00:00Z"/>
        <d v="2026-02-08T23:00:00Z"/>
        <d v="2026-01-14T02:00:00Z"/>
        <d v="2026-01-15T18:00:00Z"/>
        <d v="2026-03-12T15:00:00Z"/>
        <d v="2026-01-08T07:00:00Z"/>
        <d v="2026-01-25T11:00:00Z"/>
        <d v="2026-02-09T22:00:00Z"/>
        <d v="2026-03-18T13:00:00Z"/>
        <d v="2026-03-17T12:00:00Z"/>
        <d v="2026-01-17T20:00:00Z"/>
        <d v="2026-02-26T02:00:00Z"/>
        <d v="2026-03-13T11:00:00Z"/>
        <d v="2026-02-23T22:00:00Z"/>
        <d v="2026-01-24T15:00:00Z"/>
        <d v="2026-03-27T02:00:00Z"/>
        <d v="2026-02-16T15:00:00Z"/>
        <d v="2026-03-08T09:00:00Z"/>
        <d v="2026-01-20T10:00:00Z"/>
        <d v="2026-03-05T21:00:00Z"/>
        <d v="2026-02-27T04:00:00Z"/>
        <d v="2026-03-22T00:00:00Z"/>
        <d v="2026-02-14T02:00:00Z"/>
        <d v="2026-01-29T16:00:00Z"/>
        <d v="2026-02-01T17:00:00Z"/>
        <d v="2026-03-01T05:00:00Z"/>
        <d v="2026-01-03T07:00:00Z"/>
        <d v="2026-02-17T07:00:00Z"/>
        <d v="2026-01-18T16:00:00Z"/>
        <d v="2026-03-09T22:00:00Z"/>
        <d v="2026-03-28T07:00:00Z"/>
        <d v="2026-01-25T13:00:00Z"/>
        <d v="2026-03-16T11:00:00Z"/>
        <d v="2026-03-04T15:00:00Z"/>
        <d v="2026-02-05T21:00:00Z"/>
        <d v="2026-03-03T15:00:00Z"/>
        <d v="2026-03-22T10:00:00Z"/>
        <d v="2026-02-22T15:00:00Z"/>
        <d v="2026-03-24T12:00:00Z"/>
        <d v="2026-02-02T17:00:00Z"/>
        <d v="2026-01-13T19:00:00Z"/>
        <d v="2026-01-23T22:00:00Z"/>
        <d v="2026-01-21T19:00:00Z"/>
        <d v="2026-01-18T05:00:00Z"/>
        <d v="2026-03-07T07:00:00Z"/>
        <d v="2026-01-28T14:00:00Z"/>
        <d v="2026-02-22T21:00:00Z"/>
        <d v="2026-02-08T11:00:00Z"/>
        <d v="2026-01-27T19:00:00Z"/>
        <d v="2026-03-17T05:00:00Z"/>
        <d v="2026-03-07T18:00:00Z"/>
        <d v="2026-02-03T02:00:00Z"/>
        <d v="2026-01-04T10:00:00Z"/>
        <d v="2026-01-27T03:00:00Z"/>
        <d v="2026-02-21T09:00:00Z"/>
        <d v="2026-01-14T07:00:00Z"/>
        <d v="2026-02-11T11:00:00Z"/>
        <d v="2026-02-05T09:00:00Z"/>
        <d v="2026-02-24T08:00:00Z"/>
        <d v="2026-02-15T02:00:00Z"/>
        <d v="2026-02-09T03:00:00Z"/>
        <d v="2026-02-16T23:00:00Z"/>
        <d v="2026-03-17T17:00:00Z"/>
        <d v="2026-01-10T16:00:00Z"/>
        <d v="2026-03-17T19:00:00Z"/>
        <d v="2026-02-02T10:00:00Z"/>
        <d v="2026-03-10T08:00:00Z"/>
        <d v="2026-01-23T17:00:00Z"/>
        <d v="2026-03-26T00:00:00Z"/>
        <d v="2026-02-07T18:00:00Z"/>
        <d v="2026-03-24T05:00:00Z"/>
        <d v="2026-01-21T10:00:00Z"/>
        <d v="2026-01-12T11:00:00Z"/>
        <d v="2026-01-31T01:00:00Z"/>
        <d v="2026-02-22T01:00:00Z"/>
        <d v="2026-01-25T09:00:00Z"/>
        <d v="2026-01-13T12:00:00Z"/>
        <d v="2026-02-18T02:00:00Z"/>
        <d v="2026-01-24T23:00:00Z"/>
        <d v="2026-02-15T08:00:00Z"/>
        <d v="2026-02-12T21:00:00Z"/>
        <d v="2026-01-28T06:00:00Z"/>
        <d v="2026-02-23T05:00:00Z"/>
        <d v="2026-03-25T23:00:00Z"/>
        <d v="2026-02-09T09:00:00Z"/>
        <d v="2026-03-18T12:00:00Z"/>
        <d v="2026-01-16T16:00:00Z"/>
        <d v="2026-01-02T11:00:00Z"/>
        <d v="2026-02-01T07:00:00Z"/>
        <d v="2026-01-12T21:00:00Z"/>
        <d v="2026-03-19T10:00:00Z"/>
        <d v="2026-01-09T05:00:00Z"/>
        <d v="2026-01-20T16:00:00Z"/>
        <d v="2026-03-10T22:00:00Z"/>
        <d v="2026-01-04T00:00:00Z"/>
        <d v="2026-01-07T14:00:00Z"/>
        <d v="2026-03-04T14:00:00Z"/>
        <d v="2026-01-22T12:00:00Z"/>
        <d v="2026-02-27T23:00:00Z"/>
        <d v="2026-02-13T22:00:00Z"/>
        <d v="2026-03-21T19:00:00Z"/>
        <d v="2026-03-26T14:00:00Z"/>
        <d v="2026-01-22T01:00:00Z"/>
        <d v="2026-01-22T23:00:00Z"/>
        <d v="2026-02-25T07:00:00Z"/>
        <d v="2026-02-04T10:00:00Z"/>
        <d v="2026-03-26T10:00:00Z"/>
        <d v="2026-03-24T21:00:00Z"/>
        <d v="2026-02-28T22:00:00Z"/>
        <d v="2026-02-13T08:00:00Z"/>
        <d v="2026-02-21T22:00:00Z"/>
        <d v="2026-02-05T15:00:00Z"/>
        <d v="2026-02-22T07:00:00Z"/>
        <d v="2026-02-02T21:00:00Z"/>
        <d v="2026-02-22T17:00:00Z"/>
        <d v="2026-01-23T23:00:00Z"/>
        <d v="2026-02-05T19:00:00Z"/>
        <d v="2026-03-07T02:00:00Z"/>
        <d v="2026-02-24T00:00:00Z"/>
        <d v="2026-02-11T04:00:00Z"/>
        <d v="2026-03-11T12:00:00Z"/>
        <d v="2026-01-31T06:00:00Z"/>
        <d v="2026-02-13T23:00:00Z"/>
        <d v="2026-03-01T09:00:00Z"/>
        <d v="2026-01-31T02:00:00Z"/>
        <d v="2026-01-29T12:00:00Z"/>
        <d v="2026-01-20T14:00:00Z"/>
        <d v="2026-01-17T10:00:00Z"/>
        <d v="2026-03-07T14:00:00Z"/>
        <d v="2026-02-10T20:00:00Z"/>
        <d v="2026-01-15T15:00:00Z"/>
        <d v="2026-01-11T09:00:00Z"/>
        <d v="2026-01-17T00:00:00Z"/>
        <d v="2026-03-16T01:00:00Z"/>
        <d v="2026-02-02T16:00:00Z"/>
        <d v="2026-02-09T01:00:00Z"/>
        <d v="2026-03-24T03:00:00Z"/>
        <d v="2026-02-07T04:00:00Z"/>
        <d v="2026-03-23T03:00:00Z"/>
        <d v="2026-03-13T16:00:00Z"/>
        <d v="2026-01-27T13:00:00Z"/>
        <d v="2026-02-09T05:00:00Z"/>
        <d v="2026-03-09T04:00:00Z"/>
        <d v="2026-01-30T16:00:00Z"/>
        <d v="2026-01-15T00:00:00Z"/>
        <d v="2026-03-10T10:00:00Z"/>
        <d v="2026-01-25T22:00:00Z"/>
        <d v="2026-03-07T15:00:00Z"/>
        <d v="2026-02-02T14:00:00Z"/>
        <d v="2026-02-17T02:00:00Z"/>
        <d v="2026-01-10T11:00:00Z"/>
        <d v="2026-03-09T23:00:00Z"/>
        <d v="2026-03-26T23:00:00Z"/>
        <d v="2026-03-06T10:00:00Z"/>
        <d v="2026-01-09T09:00:00Z"/>
        <d v="2026-03-17T15:00:00Z"/>
        <d v="2026-03-20T23:00:00Z"/>
        <d v="2026-01-27T02:00:00Z"/>
        <d v="2026-03-08T14:00:00Z"/>
        <d v="2026-03-21T04:00:00Z"/>
        <d v="2026-03-26T22:00:00Z"/>
        <d v="2026-02-03T13:00:00Z"/>
        <d v="2026-02-08T22:00:00Z"/>
        <d v="2026-02-19T18:00:00Z"/>
        <d v="2026-01-14T23:00:00Z"/>
        <d v="2026-02-03T10:00:00Z"/>
        <d v="2026-01-09T13:00:00Z"/>
        <d v="2026-01-20T01:00:00Z"/>
        <d v="2026-02-21T11:00:00Z"/>
        <d v="2026-02-20T10:00:00Z"/>
        <d v="2026-01-06T06:00:00Z"/>
        <d v="2026-03-18T08:00:00Z"/>
        <d v="2026-03-04T00:00:00Z"/>
        <d v="2026-02-25T12:00:00Z"/>
        <d v="2026-03-04T23:00:00Z"/>
        <d v="2026-03-04T09:00:00Z"/>
        <d v="2026-03-12T06:00:00Z"/>
        <d v="2026-01-03T13:00:00Z"/>
        <d v="2026-02-25T17:00:00Z"/>
        <d v="2026-03-22T14:00:00Z"/>
        <d v="2026-01-02T17:00:00Z"/>
        <d v="2026-01-08T05:00:00Z"/>
        <d v="2026-01-24T05:00:00Z"/>
        <d v="2026-03-19T00:00:00Z"/>
        <d v="2026-02-05T04:00:00Z"/>
        <d v="2026-03-24T16:00:00Z"/>
        <d v="2026-03-14T09:00:00Z"/>
        <d v="2026-01-29T09:00:00Z"/>
        <d v="2026-02-05T10:00:00Z"/>
        <d v="2026-01-10T14:00:00Z"/>
        <d v="2026-02-14T15:00:00Z"/>
        <d v="2026-03-19T08:00:00Z"/>
        <d v="2026-02-23T21:00:00Z"/>
        <d v="2026-01-30T11:00:00Z"/>
        <d v="2026-01-05T06:00:00Z"/>
        <d v="2026-01-19T00:00:00Z"/>
        <d v="2026-03-06T03:00:00Z"/>
        <d v="2026-03-13T18:00:00Z"/>
        <d v="2026-01-24T01:00:00Z"/>
        <d v="2026-01-04T19:00:00Z"/>
        <d v="2026-02-01T08:00:00Z"/>
        <d v="2026-03-26T18:00:00Z"/>
        <d v="2026-01-20T17:00:00Z"/>
        <d v="2026-03-27T15:00:00Z"/>
        <d v="2026-03-16T15:00:00Z"/>
        <d v="2026-02-06T05:00:00Z"/>
        <d v="2026-03-18T22:00:00Z"/>
        <d v="2026-01-17T02:00:00Z"/>
        <d v="2026-03-03T01:00:00Z"/>
        <d v="2026-03-05T23:00:00Z"/>
        <d v="2026-01-05T08:00:00Z"/>
        <d v="2026-02-14T09:00:00Z"/>
        <d v="2026-01-09T16:00:00Z"/>
        <d v="2026-03-24T20:00:00Z"/>
        <d v="2026-03-13T17:00:00Z"/>
        <d v="2026-01-21T03:00:00Z"/>
        <d v="2026-02-26T10:00:00Z"/>
        <d v="2026-02-20T21:00:00Z"/>
        <d v="2026-02-23T01:00:00Z"/>
        <d v="2026-03-13T21:00:00Z"/>
        <d v="2026-01-20T20:00:00Z"/>
        <d v="2026-03-22T09:00:00Z"/>
        <d v="2026-02-18T19:00:00Z"/>
        <d v="2026-02-07T06:00:00Z"/>
        <d v="2026-02-18T11:00:00Z"/>
        <d v="2026-01-19T02:00:00Z"/>
        <d v="2026-01-12T05:00:00Z"/>
        <d v="2026-03-13T00:00:00Z"/>
        <d v="2026-01-19T04:00:00Z"/>
        <d v="2026-02-12T22:00:00Z"/>
        <d v="2026-03-24T17:00:00Z"/>
        <d v="2026-03-03T00:00:00Z"/>
        <d v="2026-03-14T20:00:00Z"/>
        <d v="2026-01-14T10:00:00Z"/>
        <d v="2026-02-21T07:00:00Z"/>
        <d v="2026-01-30T23:00:00Z"/>
        <d v="2026-02-10T01:00:00Z"/>
        <d v="2026-02-16T06:00:00Z"/>
        <d v="2026-02-13T00:00:00Z"/>
        <d v="2026-01-10T22:00:00Z"/>
        <d v="2026-01-18T07:00:00Z"/>
        <d v="2026-03-02T13:00:00Z"/>
        <d v="2026-02-28T01:00:00Z"/>
        <d v="2026-03-21T18:00:00Z"/>
        <d v="2026-02-12T19:00:00Z"/>
        <d v="2026-02-17T22:00:00Z"/>
        <d v="2026-01-13T10:00:00Z"/>
        <d v="2026-01-21T09:00:00Z"/>
        <d v="2026-01-14T16:00:00Z"/>
        <d v="2026-02-24T14:00:00Z"/>
        <d v="2026-02-18T14:00:00Z"/>
        <d v="2026-03-01T22:00:00Z"/>
        <d v="2026-01-17T16:00:00Z"/>
        <d v="2026-02-06T09:00:00Z"/>
        <d v="2026-03-20T14:00:00Z"/>
        <d v="2026-02-19T19:00:00Z"/>
        <d v="2026-01-30T09:00:00Z"/>
        <d v="2026-03-05T12:00:00Z"/>
        <d v="2026-01-26T20:00:00Z"/>
        <d v="2026-03-27T18:00:00Z"/>
        <d v="2026-02-08T03:00:00Z"/>
        <d v="2026-02-25T04:00:00Z"/>
        <d v="2026-02-26T15:00:00Z"/>
        <d v="2026-01-24T16:00:00Z"/>
        <d v="2026-02-26T12:00:00Z"/>
        <d v="2026-03-07T17:00:00Z"/>
        <d v="2026-03-10T04:00:00Z"/>
        <d v="2026-02-28T16:00:00Z"/>
        <d v="2026-02-26T16:00:00Z"/>
        <d v="2026-01-11T20:00:00Z"/>
        <d v="2026-01-25T16:00:00Z"/>
        <d v="2026-02-23T12:00:00Z"/>
        <d v="2026-03-09T21:00:00Z"/>
        <d v="2026-03-20T04:00:00Z"/>
        <d v="2026-02-26T18:00:00Z"/>
        <d v="2026-01-13T13:00:00Z"/>
        <d v="2026-02-10T10:00:00Z"/>
        <d v="2026-01-22T13:00:00Z"/>
        <d v="2026-01-16T05:00:00Z"/>
        <d v="2026-02-08T04:00:00Z"/>
        <d v="2026-01-05T22:00:00Z"/>
        <d v="2026-02-19T09:00:00Z"/>
        <d v="2026-03-02T21:00:00Z"/>
        <d v="2026-01-23T10:00:00Z"/>
        <d v="2026-03-22T11:00:00Z"/>
        <d v="2026-03-08T18:00:00Z"/>
        <d v="2026-01-18T10:00:00Z"/>
        <d v="2026-01-04T03:00:00Z"/>
        <d v="2026-03-05T17:00:00Z"/>
        <d v="2026-01-05T10:00:00Z"/>
        <d v="2026-03-28T20:00:00Z"/>
        <d v="2026-02-07T07:00:00Z"/>
        <d v="2026-02-03T20:00:00Z"/>
        <d v="2026-01-08T20:00:00Z"/>
        <d v="2026-01-24T10:00:00Z"/>
        <d v="2026-01-17T11:00:00Z"/>
        <d v="2026-03-06T14:00:00Z"/>
        <d v="2026-03-04T05:00:00Z"/>
        <d v="2026-01-21T16:00:00Z"/>
        <d v="2026-03-17T08:00:00Z"/>
        <d v="2026-01-03T21:00:00Z"/>
        <d v="2026-01-08T22:00:00Z"/>
        <d v="2026-01-08T06:00:00Z"/>
        <d v="2026-03-18T04:00:00Z"/>
        <d v="2026-02-07T16:00:00Z"/>
        <d v="2026-01-20T15:00:00Z"/>
        <d v="2026-01-11T10:00:00Z"/>
        <d v="2026-02-08T01:00:00Z"/>
        <d v="2026-02-07T10:00:00Z"/>
        <d v="2026-03-14T13:00:00Z"/>
        <d v="2026-01-10T02:00:00Z"/>
        <d v="2026-03-21T09:00:00Z"/>
        <d v="2026-03-23T15:00:00Z"/>
        <d v="2026-01-25T15:00:00Z"/>
        <d v="2026-03-25T13:00:00Z"/>
        <d v="2026-03-23T21:00:00Z"/>
        <d v="2026-02-05T16:00:00Z"/>
        <d v="2026-03-03T11:00:00Z"/>
        <d v="2026-01-26T19:00:00Z"/>
        <d v="2026-01-15T13:00:00Z"/>
        <d v="2026-03-15T14:00:00Z"/>
        <d v="2026-02-03T04:00:00Z"/>
        <d v="2026-02-05T23:00:00Z"/>
        <d v="2026-03-12T14:00:00Z"/>
        <d v="2026-02-27T15:00:00Z"/>
        <d v="2026-02-25T23:00:00Z"/>
        <d v="2026-01-30T15:00:00Z"/>
        <d v="2026-01-15T02:00:00Z"/>
        <d v="2026-01-20T08:00:00Z"/>
        <d v="2026-03-13T07:00:00Z"/>
        <d v="2026-03-14T12:00:00Z"/>
        <d v="2026-03-21T02:00:00Z"/>
        <d v="2026-03-18T17:00:00Z"/>
        <d v="2026-01-15T17:00:00Z"/>
        <d v="2026-01-30T12:00:00Z"/>
        <d v="2026-03-11T16:00:00Z"/>
        <d v="2026-02-09T19:00:00Z"/>
        <d v="2026-02-13T03:00:00Z"/>
        <d v="2026-02-08T07:00:00Z"/>
        <d v="2026-02-20T09:00:00Z"/>
        <d v="2026-02-20T05:00:00Z"/>
        <d v="2026-02-02T19:00:00Z"/>
        <d v="2026-03-14T03:00:00Z"/>
        <d v="2026-03-20T09:00:00Z"/>
        <d v="2026-02-13T16:00:00Z"/>
        <d v="2026-02-08T15:00:00Z"/>
        <d v="2026-02-16T02:00:00Z"/>
        <d v="2026-03-05T08:00:00Z"/>
        <d v="2026-01-02T18:00:00Z"/>
        <d v="2026-02-06T18:00:00Z"/>
        <d v="2026-02-03T08:00:00Z"/>
        <d v="2026-01-20T07:00:00Z"/>
        <d v="2026-03-02T07:00:00Z"/>
        <d v="2026-03-01T23:00:00Z"/>
        <d v="2026-01-16T18:00:00Z"/>
        <d v="2026-03-01T20:00:00Z"/>
        <d v="2026-03-20T13:00:00Z"/>
        <d v="2026-02-04T03:00:00Z"/>
        <d v="2026-03-03T10:00:00Z"/>
        <d v="2026-01-03T14:00:00Z"/>
        <d v="2026-02-27T21:00:00Z"/>
        <d v="2026-02-07T20:00:00Z"/>
      </sharedItems>
    </cacheField>
    <cacheField name="Actual Resolution Time (Hours)" numFmtId="0">
      <sharedItems containsSemiMixedTypes="0" containsString="0" containsNumber="1">
        <n v="82.99999999988358"/>
        <n v="46.999999999883585"/>
        <n v="27.999999999941792"/>
        <n v="60.99999999994179"/>
        <n v="67.00000000011642"/>
        <n v="85.99999999988358"/>
        <n v="90.0"/>
        <n v="57.0"/>
        <n v="63.99999999994179"/>
        <n v="35.00000000005821"/>
        <n v="39.0"/>
        <n v="53.00000000005821"/>
        <n v="70.00000000011642"/>
        <n v="56.00000000005821"/>
        <n v="15.999999999941792"/>
        <n v="51.0"/>
        <n v="58.000000000116415"/>
        <n v="21.0"/>
        <n v="33.0"/>
        <n v="96.0"/>
        <n v="83.00000000005821"/>
        <n v="87.0"/>
        <n v="39.99999999994179"/>
        <n v="68.00000000005821"/>
        <n v="51.99999999994179"/>
        <n v="75.0"/>
        <n v="93.99999999994179"/>
        <n v="89.00000000005821"/>
        <n v="33.99999999994179"/>
        <n v="81.0"/>
        <n v="43.000000000116415"/>
        <n v="29.000000000058208"/>
        <n v="86.00000000005821"/>
        <n v="32.00000000005821"/>
        <n v="23.000000000058208"/>
        <n v="72.0"/>
        <n v="24.0"/>
        <n v="44.00000000005821"/>
        <n v="78.0"/>
        <n v="18.999999999941792"/>
        <n v="42.99999999994179"/>
        <n v="54.0"/>
        <n v="91.00000000011642"/>
        <n v="69.99999999994179"/>
        <n v="87.99999999994179"/>
        <n v="66.99999999994179"/>
        <n v="75.99999999994179"/>
        <n v="12.0"/>
        <n v="69.0"/>
        <n v="47.00000000005821"/>
        <n v="28.999999999883585"/>
        <n v="31.999999999883585"/>
        <n v="76.00000000011642"/>
        <n v="84.99999999994179"/>
        <n v="62.00000000005821"/>
        <n v="34.000000000116415"/>
        <n v="67.99999999988358"/>
        <n v="49.000000000116415"/>
        <n v="36.0"/>
        <n v="84.0"/>
        <n v="27.0"/>
        <n v="52.000000000116415"/>
        <n v="45.0"/>
        <n v="25.000000000116415"/>
        <n v="55.999999999883585"/>
        <n v="21.999999999941792"/>
        <n v="90.99999999994179"/>
        <n v="80.00000000005821"/>
        <n v="58.999999999883585"/>
        <n v="79.00000000011642"/>
        <n v="16.999999999883585"/>
        <n v="57.99999999994179"/>
        <n v="34.999999999883585"/>
        <n v="22.000000000116415"/>
        <n v="77.00000000005821"/>
        <n v="31.000000000116415"/>
        <n v="41.00000000005821"/>
        <n v="71.00000000005821"/>
        <n v="48.99999999994179"/>
        <n v="73.00000000011642"/>
        <n v="15.0"/>
        <n v="95.00000000005821"/>
        <n v="64.00000000011642"/>
        <n v="46.000000000116415"/>
        <n v="61.000000000116415"/>
        <n v="48.0"/>
        <n v="60.0"/>
        <n v="16.000000000116415"/>
        <n v="17.000000000058208"/>
        <n v="93.0"/>
        <n v="88.99999999988358"/>
        <n v="72.99999999994179"/>
        <n v="37.000000000116415"/>
        <n v="81.99999999994179"/>
        <n v="52.999999999883585"/>
        <n v="66.0"/>
        <n v="54.99999999994179"/>
        <n v="73.99999999988358"/>
        <n v="30.999999999941792"/>
        <n v="12.999999999941792"/>
        <n v="85.00000000011642"/>
        <n v="43.999999999883585"/>
        <n v="18.0"/>
        <n v="19.000000000116415"/>
        <n v="63.0"/>
        <n v="91.99999999988358"/>
        <n v="40.999999999883585"/>
        <n v="42.0"/>
        <n v="49.999999999883585"/>
        <n v="65.00000000005821"/>
        <n v="14.000000000058208"/>
        <n v="94.00000000011642"/>
        <n v="92.00000000005821"/>
        <n v="78.99999999994179"/>
        <n v="30.0"/>
        <n v="55.000000000116415"/>
        <n v="59.00000000005821"/>
        <n v="24.999999999941792"/>
        <n v="36.99999999994179"/>
        <n v="50.00000000005821"/>
        <n v="45.99999999994179"/>
        <n v="37.999999999883585"/>
        <n v="26.000000000058208"/>
        <n v="79.99999999988358"/>
        <n v="70.99999999988358"/>
        <n v="20.000000000058208"/>
        <n v="19.999999999883585"/>
        <n v="40.000000000116415"/>
        <n v="13.000000000116415"/>
        <n v="13.999999999883585"/>
        <n v="76.99999999988358"/>
        <n v="22.999999999883585"/>
        <n v="82.00000000011642"/>
        <n v="88.00000000011642"/>
        <n v="25.999999999883585"/>
        <n v="38.00000000005821"/>
        <n v="94.99999999988358"/>
        <n v="61.999999999883585"/>
        <n v="64.99999999988358"/>
        <n v="74.00000000005821"/>
        <n v="28.000000000116415"/>
      </sharedItems>
    </cacheField>
    <cacheField name="SLA_Breach (Breached/ Within SLA)" numFmtId="0">
      <sharedItems>
        <s v="Breached"/>
        <s v="Within SLA"/>
      </sharedItems>
    </cacheField>
    <cacheField name=" 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shboard &amp; Pivot Table " cacheId="0" dataCaption="" compact="0" compactData="0">
  <location ref="A1:D8" firstHeaderRow="0" firstDataRow="1" firstDataCol="1"/>
  <pivotFields>
    <pivotField name="Ticke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epartment" axis="axisRow" compact="0" outline="0" multipleItemSelectionAllowed="1" showAll="0" sortType="ascending">
      <items>
        <item x="0"/>
        <item x="2"/>
        <item x="4"/>
        <item x="3"/>
        <item x="1"/>
        <item t="default"/>
      </items>
    </pivotField>
    <pivotField name="Priority" compact="0" outline="0" multipleItemSelectionAllowed="1" showAll="0">
      <items>
        <item x="0"/>
        <item x="1"/>
        <item x="2"/>
        <item t="default"/>
      </items>
    </pivotField>
    <pivotField name="Created_Date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t="default"/>
      </items>
    </pivotField>
    <pivotField name="Resolved_Date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t="default"/>
      </items>
    </pivotField>
    <pivotField name="SLA_Hours" compact="0" outline="0" multipleItemSelectionAllowed="1" showAll="0">
      <items>
        <item x="0"/>
        <item x="1"/>
        <item x="2"/>
        <item t="default"/>
      </items>
    </pivotField>
    <pivotField name="Status" compact="0" outline="0" multipleItemSelectionAllowed="1" showAll="0">
      <items>
        <item x="0"/>
        <item t="default"/>
      </items>
    </pivotField>
    <pivotField name="created_date_time2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t="default"/>
      </items>
    </pivotField>
    <pivotField name="resolved_date_time2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t="default"/>
      </items>
    </pivotField>
    <pivotField name="Actual Resolution Time (Hour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SLA_Breach (Breached/ Within SLA)" axis="axisCol" compact="0" outline="0" multipleItemSelectionAllowed="1" showAll="0" sortType="ascending">
      <items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1"/>
  </rowFields>
  <colFields>
    <field x="10"/>
  </colFields>
  <dataFields>
    <dataField name="Total Tickets" fld="0" subtotal="count" baseField="0"/>
  </dataFields>
</pivotTableDefinition>
</file>

<file path=xl/pivotTables/pivotTable2.xml><?xml version="1.0" encoding="utf-8"?>
<pivotTableDefinition xmlns="http://schemas.openxmlformats.org/spreadsheetml/2006/main" name="Dashboard &amp; Pivot Table  2" cacheId="0" dataCaption="" compact="0" compactData="0">
  <location ref="G31:J38" firstHeaderRow="0" firstDataRow="1" firstDataCol="1"/>
  <pivotFields>
    <pivotField name="Ticke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epartment" axis="axisRow" compact="0" outline="0" multipleItemSelectionAllowed="1" showAll="0" sortType="ascending">
      <items>
        <item x="0"/>
        <item x="2"/>
        <item x="4"/>
        <item x="3"/>
        <item x="1"/>
        <item t="default"/>
      </items>
    </pivotField>
    <pivotField name="Priority" compact="0" outline="0" multipleItemSelectionAllowed="1" showAll="0">
      <items>
        <item x="0"/>
        <item x="1"/>
        <item x="2"/>
        <item t="default"/>
      </items>
    </pivotField>
    <pivotField name="Created_Date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t="default"/>
      </items>
    </pivotField>
    <pivotField name="Resolved_Date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t="default"/>
      </items>
    </pivotField>
    <pivotField name="SLA_Hours" compact="0" outline="0" multipleItemSelectionAllowed="1" showAll="0">
      <items>
        <item x="0"/>
        <item x="1"/>
        <item x="2"/>
        <item t="default"/>
      </items>
    </pivotField>
    <pivotField name="Status" compact="0" outline="0" multipleItemSelectionAllowed="1" showAll="0">
      <items>
        <item x="0"/>
        <item t="default"/>
      </items>
    </pivotField>
    <pivotField name="created_date_time2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t="default"/>
      </items>
    </pivotField>
    <pivotField name="resolved_date_time2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t="default"/>
      </items>
    </pivotField>
    <pivotField name="Actual Resolution Time (Hour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SLA_Breach (Breached/ Within SLA)" axis="axisCol" compact="0" outline="0" multipleItemSelectionAllowed="1" showAll="0" sortType="ascending">
      <items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1"/>
  </rowFields>
  <colFields>
    <field x="10"/>
  </colFields>
  <dataFields>
    <dataField name="Total Tickets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88"/>
    <col customWidth="1" min="5" max="5" width="16.63"/>
    <col customWidth="1" min="8" max="10" width="24.13"/>
    <col customWidth="1" min="11" max="11" width="2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3</v>
      </c>
      <c r="I1" s="2" t="s">
        <v>4</v>
      </c>
      <c r="J1" s="3" t="s">
        <v>7</v>
      </c>
      <c r="K1" s="3" t="s">
        <v>8</v>
      </c>
      <c r="L1" s="4" t="s">
        <v>9</v>
      </c>
    </row>
    <row r="2">
      <c r="A2" s="1" t="s">
        <v>10</v>
      </c>
      <c r="B2" s="1" t="s">
        <v>11</v>
      </c>
      <c r="C2" s="1" t="s">
        <v>12</v>
      </c>
      <c r="D2" s="5">
        <v>46358.583333333336</v>
      </c>
      <c r="E2" s="6" t="s">
        <v>13</v>
      </c>
      <c r="F2" s="6">
        <v>72.0</v>
      </c>
      <c r="G2" s="1" t="s">
        <v>14</v>
      </c>
      <c r="H2" s="7">
        <f t="shared" ref="H2:I2" si="1">DATE(MID(D2,7,4), MID(D2,4,2), LEFT(D2,2)) + TIMEVALUE(MID(D2,12,5))
</f>
        <v>46065.58333</v>
      </c>
      <c r="I2" s="7">
        <f t="shared" si="1"/>
        <v>46069.04167</v>
      </c>
      <c r="J2" s="4">
        <f t="shared" ref="J2:J1001" si="3">(I2-H2)*24</f>
        <v>83</v>
      </c>
      <c r="K2" s="4" t="str">
        <f t="shared" ref="K2:K1001" si="4">IF(J2 &gt; F2, "Breached", "Within SLA")
</f>
        <v>Breached</v>
      </c>
    </row>
    <row r="3">
      <c r="A3" s="1" t="s">
        <v>15</v>
      </c>
      <c r="B3" s="1" t="s">
        <v>16</v>
      </c>
      <c r="C3" s="1" t="s">
        <v>12</v>
      </c>
      <c r="D3" s="5">
        <v>46266.208333333336</v>
      </c>
      <c r="E3" s="5">
        <v>46327.166666666664</v>
      </c>
      <c r="F3" s="6">
        <v>72.0</v>
      </c>
      <c r="G3" s="1" t="s">
        <v>14</v>
      </c>
      <c r="H3" s="7">
        <f t="shared" ref="H3:I3" si="2">DATE(MID(D3,7,4), MID(D3,4,2), LEFT(D3,2)) + TIMEVALUE(MID(D3,12,5))
</f>
        <v>46031.20833</v>
      </c>
      <c r="I3" s="7">
        <f t="shared" si="2"/>
        <v>46033.16667</v>
      </c>
      <c r="J3" s="4">
        <f t="shared" si="3"/>
        <v>47</v>
      </c>
      <c r="K3" s="4" t="str">
        <f t="shared" si="4"/>
        <v>Within SLA</v>
      </c>
    </row>
    <row r="4">
      <c r="A4" s="1" t="s">
        <v>17</v>
      </c>
      <c r="B4" s="1" t="s">
        <v>18</v>
      </c>
      <c r="C4" s="1" t="s">
        <v>19</v>
      </c>
      <c r="D4" s="6" t="s">
        <v>20</v>
      </c>
      <c r="E4" s="6" t="s">
        <v>21</v>
      </c>
      <c r="F4" s="6">
        <v>24.0</v>
      </c>
      <c r="G4" s="1" t="s">
        <v>14</v>
      </c>
      <c r="H4" s="7">
        <f t="shared" ref="H4:I4" si="5">DATE(MID(D4,7,4), MID(D4,4,2), LEFT(D4,2)) + TIMEVALUE(MID(D4,12,5))
</f>
        <v>46069.45833</v>
      </c>
      <c r="I4" s="7">
        <f t="shared" si="5"/>
        <v>46070.625</v>
      </c>
      <c r="J4" s="4">
        <f t="shared" si="3"/>
        <v>28</v>
      </c>
      <c r="K4" s="4" t="str">
        <f t="shared" si="4"/>
        <v>Breached</v>
      </c>
    </row>
    <row r="5">
      <c r="A5" s="1" t="s">
        <v>22</v>
      </c>
      <c r="B5" s="1" t="s">
        <v>23</v>
      </c>
      <c r="C5" s="1" t="s">
        <v>12</v>
      </c>
      <c r="D5" s="5">
        <v>46024.25</v>
      </c>
      <c r="E5" s="5">
        <v>46083.791666666664</v>
      </c>
      <c r="F5" s="6">
        <v>72.0</v>
      </c>
      <c r="G5" s="1" t="s">
        <v>14</v>
      </c>
      <c r="H5" s="7">
        <f t="shared" ref="H5:I5" si="6">DATE(MID(D5,7,4), MID(D5,4,2), LEFT(D5,2)) + TIMEVALUE(MID(D5,12,5))
</f>
        <v>46054.25</v>
      </c>
      <c r="I5" s="7">
        <f t="shared" si="6"/>
        <v>46056.79167</v>
      </c>
      <c r="J5" s="4">
        <f t="shared" si="3"/>
        <v>61</v>
      </c>
      <c r="K5" s="4" t="str">
        <f t="shared" si="4"/>
        <v>Within SLA</v>
      </c>
    </row>
    <row r="6">
      <c r="A6" s="1" t="s">
        <v>24</v>
      </c>
      <c r="B6" s="1" t="s">
        <v>11</v>
      </c>
      <c r="C6" s="1" t="s">
        <v>12</v>
      </c>
      <c r="D6" s="6" t="s">
        <v>25</v>
      </c>
      <c r="E6" s="6" t="s">
        <v>26</v>
      </c>
      <c r="F6" s="6">
        <v>72.0</v>
      </c>
      <c r="G6" s="1" t="s">
        <v>14</v>
      </c>
      <c r="H6" s="7">
        <f t="shared" ref="H6:I6" si="7">DATE(MID(D6,7,4), MID(D6,4,2), LEFT(D6,2)) + TIMEVALUE(MID(D6,12,5))
</f>
        <v>46078.29167</v>
      </c>
      <c r="I6" s="7">
        <f t="shared" si="7"/>
        <v>46081.08333</v>
      </c>
      <c r="J6" s="4">
        <f t="shared" si="3"/>
        <v>67</v>
      </c>
      <c r="K6" s="4" t="str">
        <f t="shared" si="4"/>
        <v>Within SLA</v>
      </c>
    </row>
    <row r="7">
      <c r="A7" s="1" t="s">
        <v>27</v>
      </c>
      <c r="B7" s="1" t="s">
        <v>18</v>
      </c>
      <c r="C7" s="1" t="s">
        <v>19</v>
      </c>
      <c r="D7" s="6" t="s">
        <v>28</v>
      </c>
      <c r="E7" s="6" t="s">
        <v>29</v>
      </c>
      <c r="F7" s="6">
        <v>24.0</v>
      </c>
      <c r="G7" s="1" t="s">
        <v>14</v>
      </c>
      <c r="H7" s="7">
        <f t="shared" ref="H7:I7" si="8">DATE(MID(D7,7,4), MID(D7,4,2), LEFT(D7,2)) + TIMEVALUE(MID(D7,12,5))
</f>
        <v>46072.95833</v>
      </c>
      <c r="I7" s="7">
        <f t="shared" si="8"/>
        <v>46076.54167</v>
      </c>
      <c r="J7" s="4">
        <f t="shared" si="3"/>
        <v>86</v>
      </c>
      <c r="K7" s="4" t="str">
        <f t="shared" si="4"/>
        <v>Breached</v>
      </c>
    </row>
    <row r="8">
      <c r="A8" s="1" t="s">
        <v>30</v>
      </c>
      <c r="B8" s="1" t="s">
        <v>16</v>
      </c>
      <c r="C8" s="1" t="s">
        <v>19</v>
      </c>
      <c r="D8" s="5">
        <v>46267.791666666664</v>
      </c>
      <c r="E8" s="6" t="s">
        <v>31</v>
      </c>
      <c r="F8" s="6">
        <v>24.0</v>
      </c>
      <c r="G8" s="1" t="s">
        <v>14</v>
      </c>
      <c r="H8" s="7">
        <f t="shared" ref="H8:I8" si="9">DATE(MID(D8,7,4), MID(D8,4,2), LEFT(D8,2)) + TIMEVALUE(MID(D8,12,5))
</f>
        <v>46062.79167</v>
      </c>
      <c r="I8" s="7">
        <f t="shared" si="9"/>
        <v>46066.54167</v>
      </c>
      <c r="J8" s="4">
        <f t="shared" si="3"/>
        <v>90</v>
      </c>
      <c r="K8" s="4" t="str">
        <f t="shared" si="4"/>
        <v>Breached</v>
      </c>
    </row>
    <row r="9">
      <c r="A9" s="1" t="s">
        <v>32</v>
      </c>
      <c r="B9" s="1" t="s">
        <v>11</v>
      </c>
      <c r="C9" s="1" t="s">
        <v>12</v>
      </c>
      <c r="D9" s="5">
        <v>46267.625</v>
      </c>
      <c r="E9" s="5">
        <v>46358.0</v>
      </c>
      <c r="F9" s="6">
        <v>72.0</v>
      </c>
      <c r="G9" s="1" t="s">
        <v>14</v>
      </c>
      <c r="H9" s="7">
        <f t="shared" ref="H9:I9" si="10">DATE(MID(D9,7,4), MID(D9,4,2), LEFT(D9,2)) + TIMEVALUE(MID(D9,12,5))
</f>
        <v>46062.625</v>
      </c>
      <c r="I9" s="7">
        <f t="shared" si="10"/>
        <v>46065</v>
      </c>
      <c r="J9" s="4">
        <f t="shared" si="3"/>
        <v>57</v>
      </c>
      <c r="K9" s="4" t="str">
        <f t="shared" si="4"/>
        <v>Within SLA</v>
      </c>
    </row>
    <row r="10">
      <c r="A10" s="1" t="s">
        <v>33</v>
      </c>
      <c r="B10" s="1" t="s">
        <v>34</v>
      </c>
      <c r="C10" s="1" t="s">
        <v>35</v>
      </c>
      <c r="D10" s="5">
        <v>46357.75</v>
      </c>
      <c r="E10" s="6" t="s">
        <v>36</v>
      </c>
      <c r="F10" s="6">
        <v>48.0</v>
      </c>
      <c r="G10" s="1" t="s">
        <v>14</v>
      </c>
      <c r="H10" s="7">
        <f t="shared" ref="H10:I10" si="11">DATE(MID(D10,7,4), MID(D10,4,2), LEFT(D10,2)) + TIMEVALUE(MID(D10,12,5))
</f>
        <v>46034.75</v>
      </c>
      <c r="I10" s="7">
        <f t="shared" si="11"/>
        <v>46037.41667</v>
      </c>
      <c r="J10" s="4">
        <f t="shared" si="3"/>
        <v>64</v>
      </c>
      <c r="K10" s="4" t="str">
        <f t="shared" si="4"/>
        <v>Breached</v>
      </c>
    </row>
    <row r="11">
      <c r="A11" s="1" t="s">
        <v>37</v>
      </c>
      <c r="B11" s="1" t="s">
        <v>16</v>
      </c>
      <c r="C11" s="1" t="s">
        <v>19</v>
      </c>
      <c r="D11" s="5">
        <v>46206.541666666664</v>
      </c>
      <c r="E11" s="5">
        <v>46268.0</v>
      </c>
      <c r="F11" s="6">
        <v>24.0</v>
      </c>
      <c r="G11" s="1" t="s">
        <v>14</v>
      </c>
      <c r="H11" s="7">
        <f t="shared" ref="H11:I11" si="12">DATE(MID(D11,7,4), MID(D11,4,2), LEFT(D11,2)) + TIMEVALUE(MID(D11,12,5))
</f>
        <v>46088.54167</v>
      </c>
      <c r="I11" s="7">
        <f t="shared" si="12"/>
        <v>46090</v>
      </c>
      <c r="J11" s="4">
        <f t="shared" si="3"/>
        <v>35</v>
      </c>
      <c r="K11" s="4" t="str">
        <f t="shared" si="4"/>
        <v>Breached</v>
      </c>
    </row>
    <row r="12">
      <c r="A12" s="1" t="s">
        <v>38</v>
      </c>
      <c r="B12" s="1" t="s">
        <v>16</v>
      </c>
      <c r="C12" s="1" t="s">
        <v>35</v>
      </c>
      <c r="D12" s="6" t="s">
        <v>39</v>
      </c>
      <c r="E12" s="6" t="s">
        <v>40</v>
      </c>
      <c r="F12" s="6">
        <v>48.0</v>
      </c>
      <c r="G12" s="1" t="s">
        <v>14</v>
      </c>
      <c r="H12" s="7">
        <f t="shared" ref="H12:I12" si="13">DATE(MID(D12,7,4), MID(D12,4,2), LEFT(D12,2)) + TIMEVALUE(MID(D12,12,5))
</f>
        <v>46048.54167</v>
      </c>
      <c r="I12" s="7">
        <f t="shared" si="13"/>
        <v>46050.16667</v>
      </c>
      <c r="J12" s="4">
        <f t="shared" si="3"/>
        <v>39</v>
      </c>
      <c r="K12" s="4" t="str">
        <f t="shared" si="4"/>
        <v>Within SLA</v>
      </c>
    </row>
    <row r="13">
      <c r="A13" s="1" t="s">
        <v>41</v>
      </c>
      <c r="B13" s="1" t="s">
        <v>23</v>
      </c>
      <c r="C13" s="1" t="s">
        <v>12</v>
      </c>
      <c r="D13" s="5">
        <v>46055.75</v>
      </c>
      <c r="E13" s="5">
        <v>46114.375</v>
      </c>
      <c r="F13" s="6">
        <v>72.0</v>
      </c>
      <c r="G13" s="1" t="s">
        <v>14</v>
      </c>
      <c r="H13" s="7">
        <f t="shared" ref="H13:I13" si="14">DATE(MID(D13,7,4), MID(D13,4,2), LEFT(D13,2)) + TIMEVALUE(MID(D13,12,5))
</f>
        <v>46055.75</v>
      </c>
      <c r="I13" s="7">
        <f t="shared" si="14"/>
        <v>46057.375</v>
      </c>
      <c r="J13" s="4">
        <f t="shared" si="3"/>
        <v>39</v>
      </c>
      <c r="K13" s="4" t="str">
        <f t="shared" si="4"/>
        <v>Within SLA</v>
      </c>
    </row>
    <row r="14">
      <c r="A14" s="1" t="s">
        <v>42</v>
      </c>
      <c r="B14" s="1" t="s">
        <v>23</v>
      </c>
      <c r="C14" s="1" t="s">
        <v>35</v>
      </c>
      <c r="D14" s="6" t="s">
        <v>43</v>
      </c>
      <c r="E14" s="6" t="s">
        <v>44</v>
      </c>
      <c r="F14" s="6">
        <v>48.0</v>
      </c>
      <c r="G14" s="1" t="s">
        <v>14</v>
      </c>
      <c r="H14" s="7">
        <f t="shared" ref="H14:I14" si="15">DATE(MID(D14,7,4), MID(D14,4,2), LEFT(D14,2)) + TIMEVALUE(MID(D14,12,5))
</f>
        <v>46097</v>
      </c>
      <c r="I14" s="7">
        <f t="shared" si="15"/>
        <v>46099.20833</v>
      </c>
      <c r="J14" s="4">
        <f t="shared" si="3"/>
        <v>53</v>
      </c>
      <c r="K14" s="4" t="str">
        <f t="shared" si="4"/>
        <v>Breached</v>
      </c>
    </row>
    <row r="15">
      <c r="A15" s="1" t="s">
        <v>45</v>
      </c>
      <c r="B15" s="1" t="s">
        <v>18</v>
      </c>
      <c r="C15" s="1" t="s">
        <v>12</v>
      </c>
      <c r="D15" s="6" t="s">
        <v>46</v>
      </c>
      <c r="E15" s="6" t="s">
        <v>47</v>
      </c>
      <c r="F15" s="6">
        <v>72.0</v>
      </c>
      <c r="G15" s="1" t="s">
        <v>14</v>
      </c>
      <c r="H15" s="7">
        <f t="shared" ref="H15:I15" si="16">DATE(MID(D15,7,4), MID(D15,4,2), LEFT(D15,2)) + TIMEVALUE(MID(D15,12,5))
</f>
        <v>46067.79167</v>
      </c>
      <c r="I15" s="7">
        <f t="shared" si="16"/>
        <v>46070.70833</v>
      </c>
      <c r="J15" s="4">
        <f t="shared" si="3"/>
        <v>70</v>
      </c>
      <c r="K15" s="4" t="str">
        <f t="shared" si="4"/>
        <v>Within SLA</v>
      </c>
    </row>
    <row r="16">
      <c r="A16" s="1" t="s">
        <v>48</v>
      </c>
      <c r="B16" s="1" t="s">
        <v>23</v>
      </c>
      <c r="C16" s="1" t="s">
        <v>35</v>
      </c>
      <c r="D16" s="5">
        <v>46113.916666666664</v>
      </c>
      <c r="E16" s="5">
        <v>46204.25</v>
      </c>
      <c r="F16" s="6">
        <v>48.0</v>
      </c>
      <c r="G16" s="1" t="s">
        <v>14</v>
      </c>
      <c r="H16" s="7">
        <f t="shared" ref="H16:I16" si="17">DATE(MID(D16,7,4), MID(D16,4,2), LEFT(D16,2)) + TIMEVALUE(MID(D16,12,5))
</f>
        <v>46026.91667</v>
      </c>
      <c r="I16" s="7">
        <f t="shared" si="17"/>
        <v>46029.25</v>
      </c>
      <c r="J16" s="4">
        <f t="shared" si="3"/>
        <v>56</v>
      </c>
      <c r="K16" s="4" t="str">
        <f t="shared" si="4"/>
        <v>Breached</v>
      </c>
    </row>
    <row r="17">
      <c r="A17" s="1" t="s">
        <v>49</v>
      </c>
      <c r="B17" s="1" t="s">
        <v>18</v>
      </c>
      <c r="C17" s="1" t="s">
        <v>35</v>
      </c>
      <c r="D17" s="6" t="s">
        <v>50</v>
      </c>
      <c r="E17" s="6" t="s">
        <v>51</v>
      </c>
      <c r="F17" s="6">
        <v>48.0</v>
      </c>
      <c r="G17" s="1" t="s">
        <v>14</v>
      </c>
      <c r="H17" s="7">
        <f t="shared" ref="H17:I17" si="18">DATE(MID(D17,7,4), MID(D17,4,2), LEFT(D17,2)) + TIMEVALUE(MID(D17,12,5))
</f>
        <v>46052.625</v>
      </c>
      <c r="I17" s="7">
        <f t="shared" si="18"/>
        <v>46053.29167</v>
      </c>
      <c r="J17" s="4">
        <f t="shared" si="3"/>
        <v>16</v>
      </c>
      <c r="K17" s="4" t="str">
        <f t="shared" si="4"/>
        <v>Within SLA</v>
      </c>
    </row>
    <row r="18">
      <c r="A18" s="1" t="s">
        <v>52</v>
      </c>
      <c r="B18" s="1" t="s">
        <v>34</v>
      </c>
      <c r="C18" s="1" t="s">
        <v>12</v>
      </c>
      <c r="D18" s="6" t="s">
        <v>53</v>
      </c>
      <c r="E18" s="6" t="s">
        <v>54</v>
      </c>
      <c r="F18" s="6">
        <v>72.0</v>
      </c>
      <c r="G18" s="1" t="s">
        <v>14</v>
      </c>
      <c r="H18" s="7">
        <f t="shared" ref="H18:I18" si="19">DATE(MID(D18,7,4), MID(D18,4,2), LEFT(D18,2)) + TIMEVALUE(MID(D18,12,5))
</f>
        <v>46095.66667</v>
      </c>
      <c r="I18" s="7">
        <f t="shared" si="19"/>
        <v>46097.79167</v>
      </c>
      <c r="J18" s="4">
        <f t="shared" si="3"/>
        <v>51</v>
      </c>
      <c r="K18" s="4" t="str">
        <f t="shared" si="4"/>
        <v>Within SLA</v>
      </c>
    </row>
    <row r="19">
      <c r="A19" s="1" t="s">
        <v>55</v>
      </c>
      <c r="B19" s="1" t="s">
        <v>16</v>
      </c>
      <c r="C19" s="1" t="s">
        <v>12</v>
      </c>
      <c r="D19" s="5">
        <v>46296.791666666664</v>
      </c>
      <c r="E19" s="6" t="s">
        <v>56</v>
      </c>
      <c r="F19" s="6">
        <v>72.0</v>
      </c>
      <c r="G19" s="1" t="s">
        <v>14</v>
      </c>
      <c r="H19" s="7">
        <f t="shared" ref="H19:I19" si="20">DATE(MID(D19,7,4), MID(D19,4,2), LEFT(D19,2)) + TIMEVALUE(MID(D19,12,5))
</f>
        <v>46032.79167</v>
      </c>
      <c r="I19" s="7">
        <f t="shared" si="20"/>
        <v>46035.20833</v>
      </c>
      <c r="J19" s="4">
        <f t="shared" si="3"/>
        <v>58</v>
      </c>
      <c r="K19" s="4" t="str">
        <f t="shared" si="4"/>
        <v>Within SLA</v>
      </c>
    </row>
    <row r="20">
      <c r="A20" s="1" t="s">
        <v>57</v>
      </c>
      <c r="B20" s="1" t="s">
        <v>34</v>
      </c>
      <c r="C20" s="1" t="s">
        <v>19</v>
      </c>
      <c r="D20" s="6" t="s">
        <v>58</v>
      </c>
      <c r="E20" s="6" t="s">
        <v>59</v>
      </c>
      <c r="F20" s="6">
        <v>24.0</v>
      </c>
      <c r="G20" s="1" t="s">
        <v>14</v>
      </c>
      <c r="H20" s="7">
        <f t="shared" ref="H20:I20" si="21">DATE(MID(D20,7,4), MID(D20,4,2), LEFT(D20,2)) + TIMEVALUE(MID(D20,12,5))
</f>
        <v>46045.875</v>
      </c>
      <c r="I20" s="7">
        <f t="shared" si="21"/>
        <v>46046.75</v>
      </c>
      <c r="J20" s="4">
        <f t="shared" si="3"/>
        <v>21</v>
      </c>
      <c r="K20" s="4" t="str">
        <f t="shared" si="4"/>
        <v>Within SLA</v>
      </c>
    </row>
    <row r="21">
      <c r="A21" s="1" t="s">
        <v>60</v>
      </c>
      <c r="B21" s="1" t="s">
        <v>23</v>
      </c>
      <c r="C21" s="1" t="s">
        <v>12</v>
      </c>
      <c r="D21" s="5">
        <v>46328.291666666664</v>
      </c>
      <c r="E21" s="5">
        <v>46358.666666666664</v>
      </c>
      <c r="F21" s="6">
        <v>72.0</v>
      </c>
      <c r="G21" s="1" t="s">
        <v>14</v>
      </c>
      <c r="H21" s="7">
        <f t="shared" ref="H21:I21" si="22">DATE(MID(D21,7,4), MID(D21,4,2), LEFT(D21,2)) + TIMEVALUE(MID(D21,12,5))
</f>
        <v>46064.29167</v>
      </c>
      <c r="I21" s="7">
        <f t="shared" si="22"/>
        <v>46065.66667</v>
      </c>
      <c r="J21" s="4">
        <f t="shared" si="3"/>
        <v>33</v>
      </c>
      <c r="K21" s="4" t="str">
        <f t="shared" si="4"/>
        <v>Within SLA</v>
      </c>
    </row>
    <row r="22">
      <c r="A22" s="1" t="s">
        <v>61</v>
      </c>
      <c r="B22" s="1" t="s">
        <v>16</v>
      </c>
      <c r="C22" s="1" t="s">
        <v>12</v>
      </c>
      <c r="D22" s="5">
        <v>46266.583333333336</v>
      </c>
      <c r="E22" s="6" t="s">
        <v>62</v>
      </c>
      <c r="F22" s="6">
        <v>72.0</v>
      </c>
      <c r="G22" s="1" t="s">
        <v>14</v>
      </c>
      <c r="H22" s="7">
        <f t="shared" ref="H22:I22" si="23">DATE(MID(D22,7,4), MID(D22,4,2), LEFT(D22,2)) + TIMEVALUE(MID(D22,12,5))
</f>
        <v>46031.58333</v>
      </c>
      <c r="I22" s="7">
        <f t="shared" si="23"/>
        <v>46035.58333</v>
      </c>
      <c r="J22" s="4">
        <f t="shared" si="3"/>
        <v>96</v>
      </c>
      <c r="K22" s="4" t="str">
        <f t="shared" si="4"/>
        <v>Breached</v>
      </c>
    </row>
    <row r="23">
      <c r="A23" s="1" t="s">
        <v>63</v>
      </c>
      <c r="B23" s="1" t="s">
        <v>23</v>
      </c>
      <c r="C23" s="1" t="s">
        <v>12</v>
      </c>
      <c r="D23" s="5">
        <v>46144.791666666664</v>
      </c>
      <c r="E23" s="5">
        <v>46267.25</v>
      </c>
      <c r="F23" s="6">
        <v>72.0</v>
      </c>
      <c r="G23" s="1" t="s">
        <v>14</v>
      </c>
      <c r="H23" s="7">
        <f t="shared" ref="H23:I23" si="24">DATE(MID(D23,7,4), MID(D23,4,2), LEFT(D23,2)) + TIMEVALUE(MID(D23,12,5))
</f>
        <v>46058.79167</v>
      </c>
      <c r="I23" s="7">
        <f t="shared" si="24"/>
        <v>46062.25</v>
      </c>
      <c r="J23" s="4">
        <f t="shared" si="3"/>
        <v>83</v>
      </c>
      <c r="K23" s="4" t="str">
        <f t="shared" si="4"/>
        <v>Breached</v>
      </c>
    </row>
    <row r="24">
      <c r="A24" s="1" t="s">
        <v>64</v>
      </c>
      <c r="B24" s="1" t="s">
        <v>23</v>
      </c>
      <c r="C24" s="1" t="s">
        <v>12</v>
      </c>
      <c r="D24" s="5">
        <v>46204.833333333336</v>
      </c>
      <c r="E24" s="5">
        <v>46327.458333333336</v>
      </c>
      <c r="F24" s="6">
        <v>72.0</v>
      </c>
      <c r="G24" s="1" t="s">
        <v>14</v>
      </c>
      <c r="H24" s="7">
        <f t="shared" ref="H24:I24" si="25">DATE(MID(D24,7,4), MID(D24,4,2), LEFT(D24,2)) + TIMEVALUE(MID(D24,12,5))
</f>
        <v>46029.83333</v>
      </c>
      <c r="I24" s="7">
        <f t="shared" si="25"/>
        <v>46033.45833</v>
      </c>
      <c r="J24" s="4">
        <f t="shared" si="3"/>
        <v>87</v>
      </c>
      <c r="K24" s="4" t="str">
        <f t="shared" si="4"/>
        <v>Breached</v>
      </c>
    </row>
    <row r="25">
      <c r="A25" s="1" t="s">
        <v>65</v>
      </c>
      <c r="B25" s="1" t="s">
        <v>23</v>
      </c>
      <c r="C25" s="1" t="s">
        <v>35</v>
      </c>
      <c r="D25" s="6" t="s">
        <v>66</v>
      </c>
      <c r="E25" s="6" t="s">
        <v>67</v>
      </c>
      <c r="F25" s="6">
        <v>48.0</v>
      </c>
      <c r="G25" s="1" t="s">
        <v>14</v>
      </c>
      <c r="H25" s="7">
        <f t="shared" ref="H25:I25" si="26">DATE(MID(D25,7,4), MID(D25,4,2), LEFT(D25,2)) + TIMEVALUE(MID(D25,12,5))
</f>
        <v>46035.375</v>
      </c>
      <c r="I25" s="7">
        <f t="shared" si="26"/>
        <v>46037.04167</v>
      </c>
      <c r="J25" s="4">
        <f t="shared" si="3"/>
        <v>40</v>
      </c>
      <c r="K25" s="4" t="str">
        <f t="shared" si="4"/>
        <v>Within SLA</v>
      </c>
    </row>
    <row r="26">
      <c r="A26" s="1" t="s">
        <v>68</v>
      </c>
      <c r="B26" s="1" t="s">
        <v>16</v>
      </c>
      <c r="C26" s="1" t="s">
        <v>12</v>
      </c>
      <c r="D26" s="6" t="s">
        <v>69</v>
      </c>
      <c r="E26" s="6" t="s">
        <v>70</v>
      </c>
      <c r="F26" s="6">
        <v>72.0</v>
      </c>
      <c r="G26" s="1" t="s">
        <v>14</v>
      </c>
      <c r="H26" s="7">
        <f t="shared" ref="H26:I26" si="27">DATE(MID(D26,7,4), MID(D26,4,2), LEFT(D26,2)) + TIMEVALUE(MID(D26,12,5))
</f>
        <v>46067.29167</v>
      </c>
      <c r="I26" s="7">
        <f t="shared" si="27"/>
        <v>46069.66667</v>
      </c>
      <c r="J26" s="4">
        <f t="shared" si="3"/>
        <v>57</v>
      </c>
      <c r="K26" s="4" t="str">
        <f t="shared" si="4"/>
        <v>Within SLA</v>
      </c>
    </row>
    <row r="27">
      <c r="A27" s="1" t="s">
        <v>71</v>
      </c>
      <c r="B27" s="1" t="s">
        <v>23</v>
      </c>
      <c r="C27" s="1" t="s">
        <v>12</v>
      </c>
      <c r="D27" s="5">
        <v>46025.625</v>
      </c>
      <c r="E27" s="5">
        <v>46115.458333333336</v>
      </c>
      <c r="F27" s="6">
        <v>72.0</v>
      </c>
      <c r="G27" s="1" t="s">
        <v>14</v>
      </c>
      <c r="H27" s="7">
        <f t="shared" ref="H27:I27" si="28">DATE(MID(D27,7,4), MID(D27,4,2), LEFT(D27,2)) + TIMEVALUE(MID(D27,12,5))
</f>
        <v>46082.625</v>
      </c>
      <c r="I27" s="7">
        <f t="shared" si="28"/>
        <v>46085.45833</v>
      </c>
      <c r="J27" s="4">
        <f t="shared" si="3"/>
        <v>68</v>
      </c>
      <c r="K27" s="4" t="str">
        <f t="shared" si="4"/>
        <v>Within SLA</v>
      </c>
    </row>
    <row r="28">
      <c r="A28" s="1" t="s">
        <v>72</v>
      </c>
      <c r="B28" s="1" t="s">
        <v>11</v>
      </c>
      <c r="C28" s="1" t="s">
        <v>12</v>
      </c>
      <c r="D28" s="5">
        <v>46266.458333333336</v>
      </c>
      <c r="E28" s="5">
        <v>46327.625</v>
      </c>
      <c r="F28" s="6">
        <v>72.0</v>
      </c>
      <c r="G28" s="1" t="s">
        <v>14</v>
      </c>
      <c r="H28" s="7">
        <f t="shared" ref="H28:I28" si="29">DATE(MID(D28,7,4), MID(D28,4,2), LEFT(D28,2)) + TIMEVALUE(MID(D28,12,5))
</f>
        <v>46031.45833</v>
      </c>
      <c r="I28" s="7">
        <f t="shared" si="29"/>
        <v>46033.625</v>
      </c>
      <c r="J28" s="4">
        <f t="shared" si="3"/>
        <v>52</v>
      </c>
      <c r="K28" s="4" t="str">
        <f t="shared" si="4"/>
        <v>Within SLA</v>
      </c>
    </row>
    <row r="29">
      <c r="A29" s="1" t="s">
        <v>73</v>
      </c>
      <c r="B29" s="1" t="s">
        <v>11</v>
      </c>
      <c r="C29" s="1" t="s">
        <v>12</v>
      </c>
      <c r="D29" s="6" t="s">
        <v>47</v>
      </c>
      <c r="E29" s="6" t="s">
        <v>74</v>
      </c>
      <c r="F29" s="6">
        <v>72.0</v>
      </c>
      <c r="G29" s="1" t="s">
        <v>14</v>
      </c>
      <c r="H29" s="7">
        <f t="shared" ref="H29:I29" si="30">DATE(MID(D29,7,4), MID(D29,4,2), LEFT(D29,2)) + TIMEVALUE(MID(D29,12,5))
</f>
        <v>46070.70833</v>
      </c>
      <c r="I29" s="7">
        <f t="shared" si="30"/>
        <v>46073.83333</v>
      </c>
      <c r="J29" s="4">
        <f t="shared" si="3"/>
        <v>75</v>
      </c>
      <c r="K29" s="4" t="str">
        <f t="shared" si="4"/>
        <v>Breached</v>
      </c>
    </row>
    <row r="30">
      <c r="A30" s="1" t="s">
        <v>75</v>
      </c>
      <c r="B30" s="1" t="s">
        <v>23</v>
      </c>
      <c r="C30" s="1" t="s">
        <v>12</v>
      </c>
      <c r="D30" s="6" t="s">
        <v>76</v>
      </c>
      <c r="E30" s="5">
        <v>46024.541666666664</v>
      </c>
      <c r="F30" s="6">
        <v>72.0</v>
      </c>
      <c r="G30" s="1" t="s">
        <v>14</v>
      </c>
      <c r="H30" s="7">
        <f t="shared" ref="H30:I30" si="31">DATE(MID(D30,7,4), MID(D30,4,2), LEFT(D30,2)) + TIMEVALUE(MID(D30,12,5))
</f>
        <v>46050.625</v>
      </c>
      <c r="I30" s="7">
        <f t="shared" si="31"/>
        <v>46054.54167</v>
      </c>
      <c r="J30" s="4">
        <f t="shared" si="3"/>
        <v>94</v>
      </c>
      <c r="K30" s="4" t="str">
        <f t="shared" si="4"/>
        <v>Breached</v>
      </c>
    </row>
    <row r="31">
      <c r="A31" s="1" t="s">
        <v>77</v>
      </c>
      <c r="B31" s="1" t="s">
        <v>11</v>
      </c>
      <c r="C31" s="1" t="s">
        <v>19</v>
      </c>
      <c r="D31" s="5">
        <v>46023.5</v>
      </c>
      <c r="E31" s="5">
        <v>46143.208333333336</v>
      </c>
      <c r="F31" s="6">
        <v>24.0</v>
      </c>
      <c r="G31" s="1" t="s">
        <v>14</v>
      </c>
      <c r="H31" s="7">
        <f t="shared" ref="H31:I31" si="32">DATE(MID(D31,7,4), MID(D31,4,2), LEFT(D31,2)) + TIMEVALUE(MID(D31,12,5))
</f>
        <v>46023.5</v>
      </c>
      <c r="I31" s="7">
        <f t="shared" si="32"/>
        <v>46027.20833</v>
      </c>
      <c r="J31" s="4">
        <f t="shared" si="3"/>
        <v>89</v>
      </c>
      <c r="K31" s="4" t="str">
        <f t="shared" si="4"/>
        <v>Breached</v>
      </c>
    </row>
    <row r="32">
      <c r="A32" s="1" t="s">
        <v>78</v>
      </c>
      <c r="B32" s="1" t="s">
        <v>34</v>
      </c>
      <c r="C32" s="1" t="s">
        <v>12</v>
      </c>
      <c r="D32" s="5">
        <v>46204.875</v>
      </c>
      <c r="E32" s="5">
        <v>46266.291666666664</v>
      </c>
      <c r="F32" s="6">
        <v>72.0</v>
      </c>
      <c r="G32" s="1" t="s">
        <v>14</v>
      </c>
      <c r="H32" s="7">
        <f t="shared" ref="H32:I32" si="33">DATE(MID(D32,7,4), MID(D32,4,2), LEFT(D32,2)) + TIMEVALUE(MID(D32,12,5))
</f>
        <v>46029.875</v>
      </c>
      <c r="I32" s="7">
        <f t="shared" si="33"/>
        <v>46031.29167</v>
      </c>
      <c r="J32" s="4">
        <f t="shared" si="3"/>
        <v>34</v>
      </c>
      <c r="K32" s="4" t="str">
        <f t="shared" si="4"/>
        <v>Within SLA</v>
      </c>
    </row>
    <row r="33">
      <c r="A33" s="1" t="s">
        <v>79</v>
      </c>
      <c r="B33" s="1" t="s">
        <v>11</v>
      </c>
      <c r="C33" s="1" t="s">
        <v>12</v>
      </c>
      <c r="D33" s="6" t="s">
        <v>80</v>
      </c>
      <c r="E33" s="6" t="s">
        <v>81</v>
      </c>
      <c r="F33" s="6">
        <v>72.0</v>
      </c>
      <c r="G33" s="1" t="s">
        <v>14</v>
      </c>
      <c r="H33" s="7">
        <f t="shared" ref="H33:I33" si="34">DATE(MID(D33,7,4), MID(D33,4,2), LEFT(D33,2)) + TIMEVALUE(MID(D33,12,5))
</f>
        <v>46075.95833</v>
      </c>
      <c r="I33" s="7">
        <f t="shared" si="34"/>
        <v>46079.95833</v>
      </c>
      <c r="J33" s="4">
        <f t="shared" si="3"/>
        <v>96</v>
      </c>
      <c r="K33" s="4" t="str">
        <f t="shared" si="4"/>
        <v>Breached</v>
      </c>
    </row>
    <row r="34">
      <c r="A34" s="1" t="s">
        <v>82</v>
      </c>
      <c r="B34" s="1" t="s">
        <v>18</v>
      </c>
      <c r="C34" s="1" t="s">
        <v>35</v>
      </c>
      <c r="D34" s="6" t="s">
        <v>83</v>
      </c>
      <c r="E34" s="6" t="s">
        <v>84</v>
      </c>
      <c r="F34" s="6">
        <v>48.0</v>
      </c>
      <c r="G34" s="1" t="s">
        <v>14</v>
      </c>
      <c r="H34" s="7">
        <f t="shared" ref="H34:I34" si="35">DATE(MID(D34,7,4), MID(D34,4,2), LEFT(D34,2)) + TIMEVALUE(MID(D34,12,5))
</f>
        <v>46105.58333</v>
      </c>
      <c r="I34" s="7">
        <f t="shared" si="35"/>
        <v>46108.95833</v>
      </c>
      <c r="J34" s="4">
        <f t="shared" si="3"/>
        <v>81</v>
      </c>
      <c r="K34" s="4" t="str">
        <f t="shared" si="4"/>
        <v>Breached</v>
      </c>
    </row>
    <row r="35">
      <c r="A35" s="1" t="s">
        <v>85</v>
      </c>
      <c r="B35" s="1" t="s">
        <v>18</v>
      </c>
      <c r="C35" s="1" t="s">
        <v>12</v>
      </c>
      <c r="D35" s="5">
        <v>46025.416666666664</v>
      </c>
      <c r="E35" s="5">
        <v>46084.208333333336</v>
      </c>
      <c r="F35" s="6">
        <v>72.0</v>
      </c>
      <c r="G35" s="1" t="s">
        <v>14</v>
      </c>
      <c r="H35" s="7">
        <f t="shared" ref="H35:I35" si="36">DATE(MID(D35,7,4), MID(D35,4,2), LEFT(D35,2)) + TIMEVALUE(MID(D35,12,5))
</f>
        <v>46082.41667</v>
      </c>
      <c r="I35" s="7">
        <f t="shared" si="36"/>
        <v>46084.20833</v>
      </c>
      <c r="J35" s="4">
        <f t="shared" si="3"/>
        <v>43</v>
      </c>
      <c r="K35" s="4" t="str">
        <f t="shared" si="4"/>
        <v>Within SLA</v>
      </c>
    </row>
    <row r="36">
      <c r="A36" s="1" t="s">
        <v>86</v>
      </c>
      <c r="B36" s="1" t="s">
        <v>18</v>
      </c>
      <c r="C36" s="1" t="s">
        <v>12</v>
      </c>
      <c r="D36" s="5">
        <v>46267.333333333336</v>
      </c>
      <c r="E36" s="5">
        <v>46328.875</v>
      </c>
      <c r="F36" s="6">
        <v>72.0</v>
      </c>
      <c r="G36" s="1" t="s">
        <v>14</v>
      </c>
      <c r="H36" s="7">
        <f t="shared" ref="H36:I36" si="37">DATE(MID(D36,7,4), MID(D36,4,2), LEFT(D36,2)) + TIMEVALUE(MID(D36,12,5))
</f>
        <v>46062.33333</v>
      </c>
      <c r="I36" s="7">
        <f t="shared" si="37"/>
        <v>46064.875</v>
      </c>
      <c r="J36" s="4">
        <f t="shared" si="3"/>
        <v>61</v>
      </c>
      <c r="K36" s="4" t="str">
        <f t="shared" si="4"/>
        <v>Within SLA</v>
      </c>
    </row>
    <row r="37">
      <c r="A37" s="1" t="s">
        <v>87</v>
      </c>
      <c r="B37" s="1" t="s">
        <v>16</v>
      </c>
      <c r="C37" s="1" t="s">
        <v>12</v>
      </c>
      <c r="D37" s="5">
        <v>46175.75</v>
      </c>
      <c r="E37" s="5">
        <v>46205.958333333336</v>
      </c>
      <c r="F37" s="6">
        <v>72.0</v>
      </c>
      <c r="G37" s="1" t="s">
        <v>14</v>
      </c>
      <c r="H37" s="7">
        <f t="shared" ref="H37:I37" si="38">DATE(MID(D37,7,4), MID(D37,4,2), LEFT(D37,2)) + TIMEVALUE(MID(D37,12,5))
</f>
        <v>46059.75</v>
      </c>
      <c r="I37" s="7">
        <f t="shared" si="38"/>
        <v>46060.95833</v>
      </c>
      <c r="J37" s="4">
        <f t="shared" si="3"/>
        <v>29</v>
      </c>
      <c r="K37" s="4" t="str">
        <f t="shared" si="4"/>
        <v>Within SLA</v>
      </c>
    </row>
    <row r="38">
      <c r="A38" s="1" t="s">
        <v>88</v>
      </c>
      <c r="B38" s="1" t="s">
        <v>34</v>
      </c>
      <c r="C38" s="1" t="s">
        <v>19</v>
      </c>
      <c r="D38" s="6" t="s">
        <v>89</v>
      </c>
      <c r="E38" s="6" t="s">
        <v>90</v>
      </c>
      <c r="F38" s="6">
        <v>24.0</v>
      </c>
      <c r="G38" s="1" t="s">
        <v>14</v>
      </c>
      <c r="H38" s="7">
        <f t="shared" ref="H38:I38" si="39">DATE(MID(D38,7,4), MID(D38,4,2), LEFT(D38,2)) + TIMEVALUE(MID(D38,12,5))
</f>
        <v>46046.875</v>
      </c>
      <c r="I38" s="7">
        <f t="shared" si="39"/>
        <v>46050.45833</v>
      </c>
      <c r="J38" s="4">
        <f t="shared" si="3"/>
        <v>86</v>
      </c>
      <c r="K38" s="4" t="str">
        <f t="shared" si="4"/>
        <v>Breached</v>
      </c>
    </row>
    <row r="39">
      <c r="A39" s="1" t="s">
        <v>91</v>
      </c>
      <c r="B39" s="1" t="s">
        <v>18</v>
      </c>
      <c r="C39" s="1" t="s">
        <v>12</v>
      </c>
      <c r="D39" s="5">
        <v>46082.666666666664</v>
      </c>
      <c r="E39" s="5">
        <v>46143.0</v>
      </c>
      <c r="F39" s="6">
        <v>72.0</v>
      </c>
      <c r="G39" s="1" t="s">
        <v>14</v>
      </c>
      <c r="H39" s="7">
        <f t="shared" ref="H39:I39" si="40">DATE(MID(D39,7,4), MID(D39,4,2), LEFT(D39,2)) + TIMEVALUE(MID(D39,12,5))
</f>
        <v>46025.66667</v>
      </c>
      <c r="I39" s="7">
        <f t="shared" si="40"/>
        <v>46027</v>
      </c>
      <c r="J39" s="4">
        <f t="shared" si="3"/>
        <v>32</v>
      </c>
      <c r="K39" s="4" t="str">
        <f t="shared" si="4"/>
        <v>Within SLA</v>
      </c>
    </row>
    <row r="40">
      <c r="A40" s="1" t="s">
        <v>92</v>
      </c>
      <c r="B40" s="1" t="s">
        <v>18</v>
      </c>
      <c r="C40" s="1" t="s">
        <v>19</v>
      </c>
      <c r="D40" s="6" t="s">
        <v>93</v>
      </c>
      <c r="E40" s="6" t="s">
        <v>94</v>
      </c>
      <c r="F40" s="6">
        <v>24.0</v>
      </c>
      <c r="G40" s="1" t="s">
        <v>14</v>
      </c>
      <c r="H40" s="7">
        <f t="shared" ref="H40:I40" si="41">DATE(MID(D40,7,4), MID(D40,4,2), LEFT(D40,2)) + TIMEVALUE(MID(D40,12,5))
</f>
        <v>46099</v>
      </c>
      <c r="I40" s="7">
        <f t="shared" si="41"/>
        <v>46099.95833</v>
      </c>
      <c r="J40" s="4">
        <f t="shared" si="3"/>
        <v>23</v>
      </c>
      <c r="K40" s="4" t="str">
        <f t="shared" si="4"/>
        <v>Within SLA</v>
      </c>
    </row>
    <row r="41">
      <c r="A41" s="1" t="s">
        <v>95</v>
      </c>
      <c r="B41" s="1" t="s">
        <v>16</v>
      </c>
      <c r="C41" s="1" t="s">
        <v>19</v>
      </c>
      <c r="D41" s="6" t="s">
        <v>96</v>
      </c>
      <c r="E41" s="6" t="s">
        <v>97</v>
      </c>
      <c r="F41" s="6">
        <v>24.0</v>
      </c>
      <c r="G41" s="1" t="s">
        <v>14</v>
      </c>
      <c r="H41" s="7">
        <f t="shared" ref="H41:I41" si="42">DATE(MID(D41,7,4), MID(D41,4,2), LEFT(D41,2)) + TIMEVALUE(MID(D41,12,5))
</f>
        <v>46049.25</v>
      </c>
      <c r="I41" s="7">
        <f t="shared" si="42"/>
        <v>46052.25</v>
      </c>
      <c r="J41" s="4">
        <f t="shared" si="3"/>
        <v>72</v>
      </c>
      <c r="K41" s="4" t="str">
        <f t="shared" si="4"/>
        <v>Breached</v>
      </c>
    </row>
    <row r="42">
      <c r="A42" s="1" t="s">
        <v>98</v>
      </c>
      <c r="B42" s="1" t="s">
        <v>16</v>
      </c>
      <c r="C42" s="1" t="s">
        <v>19</v>
      </c>
      <c r="D42" s="6" t="s">
        <v>99</v>
      </c>
      <c r="E42" s="5">
        <v>46025.291666666664</v>
      </c>
      <c r="F42" s="6">
        <v>24.0</v>
      </c>
      <c r="G42" s="1" t="s">
        <v>14</v>
      </c>
      <c r="H42" s="7">
        <f t="shared" ref="H42:I42" si="43">DATE(MID(D42,7,4), MID(D42,4,2), LEFT(D42,2)) + TIMEVALUE(MID(D42,12,5))
</f>
        <v>46081.29167</v>
      </c>
      <c r="I42" s="7">
        <f t="shared" si="43"/>
        <v>46082.29167</v>
      </c>
      <c r="J42" s="4">
        <f t="shared" si="3"/>
        <v>24</v>
      </c>
      <c r="K42" s="4" t="str">
        <f t="shared" si="4"/>
        <v>Within SLA</v>
      </c>
    </row>
    <row r="43">
      <c r="A43" s="1" t="s">
        <v>100</v>
      </c>
      <c r="B43" s="1" t="s">
        <v>34</v>
      </c>
      <c r="C43" s="1" t="s">
        <v>19</v>
      </c>
      <c r="D43" s="6" t="s">
        <v>101</v>
      </c>
      <c r="E43" s="6" t="s">
        <v>102</v>
      </c>
      <c r="F43" s="6">
        <v>24.0</v>
      </c>
      <c r="G43" s="1" t="s">
        <v>14</v>
      </c>
      <c r="H43" s="7">
        <f t="shared" ref="H43:I43" si="44">DATE(MID(D43,7,4), MID(D43,4,2), LEFT(D43,2)) + TIMEVALUE(MID(D43,12,5))
</f>
        <v>46070.75</v>
      </c>
      <c r="I43" s="7">
        <f t="shared" si="44"/>
        <v>46074.75</v>
      </c>
      <c r="J43" s="4">
        <f t="shared" si="3"/>
        <v>96</v>
      </c>
      <c r="K43" s="4" t="str">
        <f t="shared" si="4"/>
        <v>Breached</v>
      </c>
    </row>
    <row r="44">
      <c r="A44" s="1" t="s">
        <v>103</v>
      </c>
      <c r="B44" s="1" t="s">
        <v>23</v>
      </c>
      <c r="C44" s="1" t="s">
        <v>19</v>
      </c>
      <c r="D44" s="5">
        <v>46025.875</v>
      </c>
      <c r="E44" s="5">
        <v>46084.708333333336</v>
      </c>
      <c r="F44" s="6">
        <v>24.0</v>
      </c>
      <c r="G44" s="1" t="s">
        <v>14</v>
      </c>
      <c r="H44" s="7">
        <f t="shared" ref="H44:I44" si="45">DATE(MID(D44,7,4), MID(D44,4,2), LEFT(D44,2)) + TIMEVALUE(MID(D44,12,5))
</f>
        <v>46082.875</v>
      </c>
      <c r="I44" s="7">
        <f t="shared" si="45"/>
        <v>46084.70833</v>
      </c>
      <c r="J44" s="4">
        <f t="shared" si="3"/>
        <v>44</v>
      </c>
      <c r="K44" s="4" t="str">
        <f t="shared" si="4"/>
        <v>Breached</v>
      </c>
    </row>
    <row r="45">
      <c r="A45" s="1" t="s">
        <v>104</v>
      </c>
      <c r="B45" s="1" t="s">
        <v>16</v>
      </c>
      <c r="C45" s="1" t="s">
        <v>12</v>
      </c>
      <c r="D45" s="6" t="s">
        <v>105</v>
      </c>
      <c r="E45" s="6" t="s">
        <v>106</v>
      </c>
      <c r="F45" s="6">
        <v>72.0</v>
      </c>
      <c r="G45" s="1" t="s">
        <v>14</v>
      </c>
      <c r="H45" s="7">
        <f t="shared" ref="H45:I45" si="46">DATE(MID(D45,7,4), MID(D45,4,2), LEFT(D45,2)) + TIMEVALUE(MID(D45,12,5))
</f>
        <v>46101.125</v>
      </c>
      <c r="I45" s="7">
        <f t="shared" si="46"/>
        <v>46102.33333</v>
      </c>
      <c r="J45" s="4">
        <f t="shared" si="3"/>
        <v>29</v>
      </c>
      <c r="K45" s="4" t="str">
        <f t="shared" si="4"/>
        <v>Within SLA</v>
      </c>
    </row>
    <row r="46">
      <c r="A46" s="1" t="s">
        <v>107</v>
      </c>
      <c r="B46" s="1" t="s">
        <v>11</v>
      </c>
      <c r="C46" s="1" t="s">
        <v>35</v>
      </c>
      <c r="D46" s="6" t="s">
        <v>108</v>
      </c>
      <c r="E46" s="6" t="s">
        <v>109</v>
      </c>
      <c r="F46" s="6">
        <v>48.0</v>
      </c>
      <c r="G46" s="1" t="s">
        <v>14</v>
      </c>
      <c r="H46" s="7">
        <f t="shared" ref="H46:I46" si="47">DATE(MID(D46,7,4), MID(D46,4,2), LEFT(D46,2)) + TIMEVALUE(MID(D46,12,5))
</f>
        <v>46071.83333</v>
      </c>
      <c r="I46" s="7">
        <f t="shared" si="47"/>
        <v>46075.41667</v>
      </c>
      <c r="J46" s="4">
        <f t="shared" si="3"/>
        <v>86</v>
      </c>
      <c r="K46" s="4" t="str">
        <f t="shared" si="4"/>
        <v>Breached</v>
      </c>
    </row>
    <row r="47">
      <c r="A47" s="1" t="s">
        <v>110</v>
      </c>
      <c r="B47" s="1" t="s">
        <v>18</v>
      </c>
      <c r="C47" s="1" t="s">
        <v>12</v>
      </c>
      <c r="D47" s="6" t="s">
        <v>111</v>
      </c>
      <c r="E47" s="6" t="s">
        <v>112</v>
      </c>
      <c r="F47" s="6">
        <v>72.0</v>
      </c>
      <c r="G47" s="1" t="s">
        <v>14</v>
      </c>
      <c r="H47" s="7">
        <f t="shared" ref="H47:I47" si="48">DATE(MID(D47,7,4), MID(D47,4,2), LEFT(D47,2)) + TIMEVALUE(MID(D47,12,5))
</f>
        <v>46045.91667</v>
      </c>
      <c r="I47" s="7">
        <f t="shared" si="48"/>
        <v>46049.16667</v>
      </c>
      <c r="J47" s="4">
        <f t="shared" si="3"/>
        <v>78</v>
      </c>
      <c r="K47" s="4" t="str">
        <f t="shared" si="4"/>
        <v>Breached</v>
      </c>
    </row>
    <row r="48">
      <c r="A48" s="1" t="s">
        <v>113</v>
      </c>
      <c r="B48" s="1" t="s">
        <v>11</v>
      </c>
      <c r="C48" s="1" t="s">
        <v>12</v>
      </c>
      <c r="D48" s="5">
        <v>46113.5</v>
      </c>
      <c r="E48" s="5">
        <v>46143.291666666664</v>
      </c>
      <c r="F48" s="6">
        <v>72.0</v>
      </c>
      <c r="G48" s="1" t="s">
        <v>14</v>
      </c>
      <c r="H48" s="7">
        <f t="shared" ref="H48:I48" si="49">DATE(MID(D48,7,4), MID(D48,4,2), LEFT(D48,2)) + TIMEVALUE(MID(D48,12,5))
</f>
        <v>46026.5</v>
      </c>
      <c r="I48" s="7">
        <f t="shared" si="49"/>
        <v>46027.29167</v>
      </c>
      <c r="J48" s="4">
        <f t="shared" si="3"/>
        <v>19</v>
      </c>
      <c r="K48" s="4" t="str">
        <f t="shared" si="4"/>
        <v>Within SLA</v>
      </c>
    </row>
    <row r="49">
      <c r="A49" s="1" t="s">
        <v>114</v>
      </c>
      <c r="B49" s="1" t="s">
        <v>18</v>
      </c>
      <c r="C49" s="1" t="s">
        <v>19</v>
      </c>
      <c r="D49" s="6" t="s">
        <v>115</v>
      </c>
      <c r="E49" s="6" t="s">
        <v>116</v>
      </c>
      <c r="F49" s="6">
        <v>24.0</v>
      </c>
      <c r="G49" s="1" t="s">
        <v>14</v>
      </c>
      <c r="H49" s="7">
        <f t="shared" ref="H49:I49" si="50">DATE(MID(D49,7,4), MID(D49,4,2), LEFT(D49,2)) + TIMEVALUE(MID(D49,12,5))
</f>
        <v>46075.875</v>
      </c>
      <c r="I49" s="7">
        <f t="shared" si="50"/>
        <v>46077.66667</v>
      </c>
      <c r="J49" s="4">
        <f t="shared" si="3"/>
        <v>43</v>
      </c>
      <c r="K49" s="4" t="str">
        <f t="shared" si="4"/>
        <v>Breached</v>
      </c>
    </row>
    <row r="50">
      <c r="A50" s="1" t="s">
        <v>117</v>
      </c>
      <c r="B50" s="1" t="s">
        <v>11</v>
      </c>
      <c r="C50" s="1" t="s">
        <v>35</v>
      </c>
      <c r="D50" s="5">
        <v>46025.125</v>
      </c>
      <c r="E50" s="5">
        <v>46056.0</v>
      </c>
      <c r="F50" s="6">
        <v>48.0</v>
      </c>
      <c r="G50" s="1" t="s">
        <v>14</v>
      </c>
      <c r="H50" s="7">
        <f t="shared" ref="H50:I50" si="51">DATE(MID(D50,7,4), MID(D50,4,2), LEFT(D50,2)) + TIMEVALUE(MID(D50,12,5))
</f>
        <v>46082.125</v>
      </c>
      <c r="I50" s="7">
        <f t="shared" si="51"/>
        <v>46083</v>
      </c>
      <c r="J50" s="4">
        <f t="shared" si="3"/>
        <v>21</v>
      </c>
      <c r="K50" s="4" t="str">
        <f t="shared" si="4"/>
        <v>Within SLA</v>
      </c>
    </row>
    <row r="51">
      <c r="A51" s="1" t="s">
        <v>118</v>
      </c>
      <c r="B51" s="1" t="s">
        <v>16</v>
      </c>
      <c r="C51" s="1" t="s">
        <v>12</v>
      </c>
      <c r="D51" s="6" t="s">
        <v>119</v>
      </c>
      <c r="E51" s="6" t="s">
        <v>120</v>
      </c>
      <c r="F51" s="6">
        <v>72.0</v>
      </c>
      <c r="G51" s="1" t="s">
        <v>14</v>
      </c>
      <c r="H51" s="7">
        <f t="shared" ref="H51:I51" si="52">DATE(MID(D51,7,4), MID(D51,4,2), LEFT(D51,2)) + TIMEVALUE(MID(D51,12,5))
</f>
        <v>46071.70833</v>
      </c>
      <c r="I51" s="7">
        <f t="shared" si="52"/>
        <v>46073.95833</v>
      </c>
      <c r="J51" s="4">
        <f t="shared" si="3"/>
        <v>54</v>
      </c>
      <c r="K51" s="4" t="str">
        <f t="shared" si="4"/>
        <v>Within SLA</v>
      </c>
    </row>
    <row r="52">
      <c r="A52" s="1" t="s">
        <v>121</v>
      </c>
      <c r="B52" s="1" t="s">
        <v>23</v>
      </c>
      <c r="C52" s="1" t="s">
        <v>12</v>
      </c>
      <c r="D52" s="5">
        <v>46023.75</v>
      </c>
      <c r="E52" s="5">
        <v>46113.75</v>
      </c>
      <c r="F52" s="6">
        <v>72.0</v>
      </c>
      <c r="G52" s="1" t="s">
        <v>14</v>
      </c>
      <c r="H52" s="7">
        <f t="shared" ref="H52:I52" si="53">DATE(MID(D52,7,4), MID(D52,4,2), LEFT(D52,2)) + TIMEVALUE(MID(D52,12,5))
</f>
        <v>46023.75</v>
      </c>
      <c r="I52" s="7">
        <f t="shared" si="53"/>
        <v>46026.75</v>
      </c>
      <c r="J52" s="4">
        <f t="shared" si="3"/>
        <v>72</v>
      </c>
      <c r="K52" s="4" t="str">
        <f t="shared" si="4"/>
        <v>Within SLA</v>
      </c>
    </row>
    <row r="53">
      <c r="A53" s="1" t="s">
        <v>122</v>
      </c>
      <c r="B53" s="1" t="s">
        <v>34</v>
      </c>
      <c r="C53" s="1" t="s">
        <v>19</v>
      </c>
      <c r="D53" s="6" t="s">
        <v>13</v>
      </c>
      <c r="E53" s="6" t="s">
        <v>123</v>
      </c>
      <c r="F53" s="6">
        <v>24.0</v>
      </c>
      <c r="G53" s="1" t="s">
        <v>14</v>
      </c>
      <c r="H53" s="7">
        <f t="shared" ref="H53:I53" si="54">DATE(MID(D53,7,4), MID(D53,4,2), LEFT(D53,2)) + TIMEVALUE(MID(D53,12,5))
</f>
        <v>46069.04167</v>
      </c>
      <c r="I53" s="7">
        <f t="shared" si="54"/>
        <v>46072.83333</v>
      </c>
      <c r="J53" s="4">
        <f t="shared" si="3"/>
        <v>91</v>
      </c>
      <c r="K53" s="4" t="str">
        <f t="shared" si="4"/>
        <v>Breached</v>
      </c>
    </row>
    <row r="54">
      <c r="A54" s="1" t="s">
        <v>124</v>
      </c>
      <c r="B54" s="1" t="s">
        <v>18</v>
      </c>
      <c r="C54" s="1" t="s">
        <v>19</v>
      </c>
      <c r="D54" s="6" t="s">
        <v>125</v>
      </c>
      <c r="E54" s="6" t="s">
        <v>126</v>
      </c>
      <c r="F54" s="6">
        <v>24.0</v>
      </c>
      <c r="G54" s="1" t="s">
        <v>14</v>
      </c>
      <c r="H54" s="7">
        <f t="shared" ref="H54:I54" si="55">DATE(MID(D54,7,4), MID(D54,4,2), LEFT(D54,2)) + TIMEVALUE(MID(D54,12,5))
</f>
        <v>46076.04167</v>
      </c>
      <c r="I54" s="7">
        <f t="shared" si="55"/>
        <v>46077.04167</v>
      </c>
      <c r="J54" s="4">
        <f t="shared" si="3"/>
        <v>24</v>
      </c>
      <c r="K54" s="4" t="str">
        <f t="shared" si="4"/>
        <v>Within SLA</v>
      </c>
    </row>
    <row r="55">
      <c r="A55" s="1" t="s">
        <v>127</v>
      </c>
      <c r="B55" s="1" t="s">
        <v>11</v>
      </c>
      <c r="C55" s="1" t="s">
        <v>12</v>
      </c>
      <c r="D55" s="5">
        <v>46328.333333333336</v>
      </c>
      <c r="E55" s="6" t="s">
        <v>128</v>
      </c>
      <c r="F55" s="6">
        <v>72.0</v>
      </c>
      <c r="G55" s="1" t="s">
        <v>14</v>
      </c>
      <c r="H55" s="7">
        <f t="shared" ref="H55:I55" si="56">DATE(MID(D55,7,4), MID(D55,4,2), LEFT(D55,2)) + TIMEVALUE(MID(D55,12,5))
</f>
        <v>46064.33333</v>
      </c>
      <c r="I55" s="7">
        <f t="shared" si="56"/>
        <v>46067.25</v>
      </c>
      <c r="J55" s="4">
        <f t="shared" si="3"/>
        <v>70</v>
      </c>
      <c r="K55" s="4" t="str">
        <f t="shared" si="4"/>
        <v>Within SLA</v>
      </c>
    </row>
    <row r="56">
      <c r="A56" s="1" t="s">
        <v>129</v>
      </c>
      <c r="B56" s="1" t="s">
        <v>16</v>
      </c>
      <c r="C56" s="1" t="s">
        <v>35</v>
      </c>
      <c r="D56" s="5">
        <v>46296.416666666664</v>
      </c>
      <c r="E56" s="5">
        <v>46357.666666666664</v>
      </c>
      <c r="F56" s="6">
        <v>48.0</v>
      </c>
      <c r="G56" s="1" t="s">
        <v>14</v>
      </c>
      <c r="H56" s="7">
        <f t="shared" ref="H56:I56" si="57">DATE(MID(D56,7,4), MID(D56,4,2), LEFT(D56,2)) + TIMEVALUE(MID(D56,12,5))
</f>
        <v>46032.41667</v>
      </c>
      <c r="I56" s="7">
        <f t="shared" si="57"/>
        <v>46034.66667</v>
      </c>
      <c r="J56" s="4">
        <f t="shared" si="3"/>
        <v>54</v>
      </c>
      <c r="K56" s="4" t="str">
        <f t="shared" si="4"/>
        <v>Breached</v>
      </c>
    </row>
    <row r="57">
      <c r="A57" s="1" t="s">
        <v>130</v>
      </c>
      <c r="B57" s="1" t="s">
        <v>16</v>
      </c>
      <c r="C57" s="1" t="s">
        <v>35</v>
      </c>
      <c r="D57" s="6" t="s">
        <v>131</v>
      </c>
      <c r="E57" s="6" t="s">
        <v>132</v>
      </c>
      <c r="F57" s="6">
        <v>48.0</v>
      </c>
      <c r="G57" s="1" t="s">
        <v>14</v>
      </c>
      <c r="H57" s="7">
        <f t="shared" ref="H57:I57" si="58">DATE(MID(D57,7,4), MID(D57,4,2), LEFT(D57,2)) + TIMEVALUE(MID(D57,12,5))
</f>
        <v>46041.08333</v>
      </c>
      <c r="I57" s="7">
        <f t="shared" si="58"/>
        <v>46044.75</v>
      </c>
      <c r="J57" s="4">
        <f t="shared" si="3"/>
        <v>88</v>
      </c>
      <c r="K57" s="4" t="str">
        <f t="shared" si="4"/>
        <v>Breached</v>
      </c>
    </row>
    <row r="58">
      <c r="A58" s="1" t="s">
        <v>133</v>
      </c>
      <c r="B58" s="1" t="s">
        <v>16</v>
      </c>
      <c r="C58" s="1" t="s">
        <v>35</v>
      </c>
      <c r="D58" s="5">
        <v>46206.791666666664</v>
      </c>
      <c r="E58" s="5">
        <v>46298.208333333336</v>
      </c>
      <c r="F58" s="6">
        <v>48.0</v>
      </c>
      <c r="G58" s="1" t="s">
        <v>14</v>
      </c>
      <c r="H58" s="7">
        <f t="shared" ref="H58:I58" si="59">DATE(MID(D58,7,4), MID(D58,4,2), LEFT(D58,2)) + TIMEVALUE(MID(D58,12,5))
</f>
        <v>46088.79167</v>
      </c>
      <c r="I58" s="7">
        <f t="shared" si="59"/>
        <v>46091.20833</v>
      </c>
      <c r="J58" s="4">
        <f t="shared" si="3"/>
        <v>58</v>
      </c>
      <c r="K58" s="4" t="str">
        <f t="shared" si="4"/>
        <v>Breached</v>
      </c>
    </row>
    <row r="59">
      <c r="A59" s="1" t="s">
        <v>134</v>
      </c>
      <c r="B59" s="1" t="s">
        <v>23</v>
      </c>
      <c r="C59" s="1" t="s">
        <v>35</v>
      </c>
      <c r="D59" s="5">
        <v>46114.0</v>
      </c>
      <c r="E59" s="5">
        <v>46144.833333333336</v>
      </c>
      <c r="F59" s="6">
        <v>48.0</v>
      </c>
      <c r="G59" s="1" t="s">
        <v>14</v>
      </c>
      <c r="H59" s="7">
        <f t="shared" ref="H59:I59" si="60">DATE(MID(D59,7,4), MID(D59,4,2), LEFT(D59,2)) + TIMEVALUE(MID(D59,12,5))
</f>
        <v>46057</v>
      </c>
      <c r="I59" s="7">
        <f t="shared" si="60"/>
        <v>46058.83333</v>
      </c>
      <c r="J59" s="4">
        <f t="shared" si="3"/>
        <v>44</v>
      </c>
      <c r="K59" s="4" t="str">
        <f t="shared" si="4"/>
        <v>Within SLA</v>
      </c>
    </row>
    <row r="60">
      <c r="A60" s="1" t="s">
        <v>135</v>
      </c>
      <c r="B60" s="1" t="s">
        <v>16</v>
      </c>
      <c r="C60" s="1" t="s">
        <v>35</v>
      </c>
      <c r="D60" s="6" t="s">
        <v>136</v>
      </c>
      <c r="E60" s="6" t="s">
        <v>137</v>
      </c>
      <c r="F60" s="6">
        <v>48.0</v>
      </c>
      <c r="G60" s="1" t="s">
        <v>14</v>
      </c>
      <c r="H60" s="7">
        <f t="shared" ref="H60:I60" si="61">DATE(MID(D60,7,4), MID(D60,4,2), LEFT(D60,2)) + TIMEVALUE(MID(D60,12,5))
</f>
        <v>46095.54167</v>
      </c>
      <c r="I60" s="7">
        <f t="shared" si="61"/>
        <v>46099.25</v>
      </c>
      <c r="J60" s="4">
        <f t="shared" si="3"/>
        <v>89</v>
      </c>
      <c r="K60" s="4" t="str">
        <f t="shared" si="4"/>
        <v>Breached</v>
      </c>
    </row>
    <row r="61">
      <c r="A61" s="1" t="s">
        <v>138</v>
      </c>
      <c r="B61" s="1" t="s">
        <v>18</v>
      </c>
      <c r="C61" s="1" t="s">
        <v>19</v>
      </c>
      <c r="D61" s="6" t="s">
        <v>139</v>
      </c>
      <c r="E61" s="6" t="s">
        <v>140</v>
      </c>
      <c r="F61" s="6">
        <v>24.0</v>
      </c>
      <c r="G61" s="1" t="s">
        <v>14</v>
      </c>
      <c r="H61" s="7">
        <f t="shared" ref="H61:I61" si="62">DATE(MID(D61,7,4), MID(D61,4,2), LEFT(D61,2)) + TIMEVALUE(MID(D61,12,5))
</f>
        <v>46073</v>
      </c>
      <c r="I61" s="7">
        <f t="shared" si="62"/>
        <v>46074.33333</v>
      </c>
      <c r="J61" s="4">
        <f t="shared" si="3"/>
        <v>32</v>
      </c>
      <c r="K61" s="4" t="str">
        <f t="shared" si="4"/>
        <v>Breached</v>
      </c>
    </row>
    <row r="62">
      <c r="A62" s="1" t="s">
        <v>141</v>
      </c>
      <c r="B62" s="1" t="s">
        <v>11</v>
      </c>
      <c r="C62" s="1" t="s">
        <v>19</v>
      </c>
      <c r="D62" s="5">
        <v>46204.208333333336</v>
      </c>
      <c r="E62" s="5">
        <v>46296.833333333336</v>
      </c>
      <c r="F62" s="6">
        <v>24.0</v>
      </c>
      <c r="G62" s="1" t="s">
        <v>14</v>
      </c>
      <c r="H62" s="7">
        <f t="shared" ref="H62:I62" si="63">DATE(MID(D62,7,4), MID(D62,4,2), LEFT(D62,2)) + TIMEVALUE(MID(D62,12,5))
</f>
        <v>46029.20833</v>
      </c>
      <c r="I62" s="7">
        <f t="shared" si="63"/>
        <v>46032.83333</v>
      </c>
      <c r="J62" s="4">
        <f t="shared" si="3"/>
        <v>87</v>
      </c>
      <c r="K62" s="4" t="str">
        <f t="shared" si="4"/>
        <v>Breached</v>
      </c>
    </row>
    <row r="63">
      <c r="A63" s="1" t="s">
        <v>142</v>
      </c>
      <c r="B63" s="1" t="s">
        <v>34</v>
      </c>
      <c r="C63" s="1" t="s">
        <v>12</v>
      </c>
      <c r="D63" s="6" t="s">
        <v>143</v>
      </c>
      <c r="E63" s="6" t="s">
        <v>144</v>
      </c>
      <c r="F63" s="6">
        <v>72.0</v>
      </c>
      <c r="G63" s="1" t="s">
        <v>14</v>
      </c>
      <c r="H63" s="7">
        <f t="shared" ref="H63:I63" si="64">DATE(MID(D63,7,4), MID(D63,4,2), LEFT(D63,2)) + TIMEVALUE(MID(D63,12,5))
</f>
        <v>46069.33333</v>
      </c>
      <c r="I63" s="7">
        <f t="shared" si="64"/>
        <v>46072.125</v>
      </c>
      <c r="J63" s="4">
        <f t="shared" si="3"/>
        <v>67</v>
      </c>
      <c r="K63" s="4" t="str">
        <f t="shared" si="4"/>
        <v>Within SLA</v>
      </c>
    </row>
    <row r="64">
      <c r="A64" s="1" t="s">
        <v>145</v>
      </c>
      <c r="B64" s="1" t="s">
        <v>18</v>
      </c>
      <c r="C64" s="1" t="s">
        <v>19</v>
      </c>
      <c r="D64" s="6" t="s">
        <v>146</v>
      </c>
      <c r="E64" s="6" t="s">
        <v>147</v>
      </c>
      <c r="F64" s="6">
        <v>24.0</v>
      </c>
      <c r="G64" s="1" t="s">
        <v>14</v>
      </c>
      <c r="H64" s="7">
        <f t="shared" ref="H64:I64" si="65">DATE(MID(D64,7,4), MID(D64,4,2), LEFT(D64,2)) + TIMEVALUE(MID(D64,12,5))
</f>
        <v>46076.375</v>
      </c>
      <c r="I64" s="7">
        <f t="shared" si="65"/>
        <v>46079.54167</v>
      </c>
      <c r="J64" s="4">
        <f t="shared" si="3"/>
        <v>76</v>
      </c>
      <c r="K64" s="4" t="str">
        <f t="shared" si="4"/>
        <v>Breached</v>
      </c>
    </row>
    <row r="65">
      <c r="A65" s="1" t="s">
        <v>148</v>
      </c>
      <c r="B65" s="1" t="s">
        <v>16</v>
      </c>
      <c r="C65" s="1" t="s">
        <v>12</v>
      </c>
      <c r="D65" s="6" t="s">
        <v>149</v>
      </c>
      <c r="E65" s="6" t="s">
        <v>150</v>
      </c>
      <c r="F65" s="6">
        <v>72.0</v>
      </c>
      <c r="G65" s="1" t="s">
        <v>14</v>
      </c>
      <c r="H65" s="7">
        <f t="shared" ref="H65:I65" si="66">DATE(MID(D65,7,4), MID(D65,4,2), LEFT(D65,2)) + TIMEVALUE(MID(D65,12,5))
</f>
        <v>46067.875</v>
      </c>
      <c r="I65" s="7">
        <f t="shared" si="66"/>
        <v>46070.41667</v>
      </c>
      <c r="J65" s="4">
        <f t="shared" si="3"/>
        <v>61</v>
      </c>
      <c r="K65" s="4" t="str">
        <f t="shared" si="4"/>
        <v>Within SLA</v>
      </c>
    </row>
    <row r="66">
      <c r="A66" s="1" t="s">
        <v>151</v>
      </c>
      <c r="B66" s="1" t="s">
        <v>34</v>
      </c>
      <c r="C66" s="1" t="s">
        <v>19</v>
      </c>
      <c r="D66" s="5">
        <v>46327.583333333336</v>
      </c>
      <c r="E66" s="5">
        <v>46357.083333333336</v>
      </c>
      <c r="F66" s="6">
        <v>24.0</v>
      </c>
      <c r="G66" s="1" t="s">
        <v>14</v>
      </c>
      <c r="H66" s="7">
        <f t="shared" ref="H66:I66" si="67">DATE(MID(D66,7,4), MID(D66,4,2), LEFT(D66,2)) + TIMEVALUE(MID(D66,12,5))
</f>
        <v>46033.58333</v>
      </c>
      <c r="I66" s="7">
        <f t="shared" si="67"/>
        <v>46034.08333</v>
      </c>
      <c r="J66" s="4">
        <f t="shared" si="3"/>
        <v>12</v>
      </c>
      <c r="K66" s="4" t="str">
        <f t="shared" si="4"/>
        <v>Within SLA</v>
      </c>
    </row>
    <row r="67">
      <c r="A67" s="1" t="s">
        <v>152</v>
      </c>
      <c r="B67" s="1" t="s">
        <v>34</v>
      </c>
      <c r="C67" s="1" t="s">
        <v>12</v>
      </c>
      <c r="D67" s="5">
        <v>46328.916666666664</v>
      </c>
      <c r="E67" s="6" t="s">
        <v>46</v>
      </c>
      <c r="F67" s="6">
        <v>72.0</v>
      </c>
      <c r="G67" s="1" t="s">
        <v>14</v>
      </c>
      <c r="H67" s="7">
        <f t="shared" ref="H67:I67" si="68">DATE(MID(D67,7,4), MID(D67,4,2), LEFT(D67,2)) + TIMEVALUE(MID(D67,12,5))
</f>
        <v>46064.91667</v>
      </c>
      <c r="I67" s="7">
        <f t="shared" si="68"/>
        <v>46067.79167</v>
      </c>
      <c r="J67" s="4">
        <f t="shared" si="3"/>
        <v>69</v>
      </c>
      <c r="K67" s="4" t="str">
        <f t="shared" si="4"/>
        <v>Within SLA</v>
      </c>
    </row>
    <row r="68">
      <c r="A68" s="1" t="s">
        <v>153</v>
      </c>
      <c r="B68" s="1" t="s">
        <v>16</v>
      </c>
      <c r="C68" s="1" t="s">
        <v>19</v>
      </c>
      <c r="D68" s="6" t="s">
        <v>43</v>
      </c>
      <c r="E68" s="6" t="s">
        <v>154</v>
      </c>
      <c r="F68" s="6">
        <v>24.0</v>
      </c>
      <c r="G68" s="1" t="s">
        <v>14</v>
      </c>
      <c r="H68" s="7">
        <f t="shared" ref="H68:I68" si="69">DATE(MID(D68,7,4), MID(D68,4,2), LEFT(D68,2)) + TIMEVALUE(MID(D68,12,5))
</f>
        <v>46097</v>
      </c>
      <c r="I68" s="7">
        <f t="shared" si="69"/>
        <v>46098.95833</v>
      </c>
      <c r="J68" s="4">
        <f t="shared" si="3"/>
        <v>47</v>
      </c>
      <c r="K68" s="4" t="str">
        <f t="shared" si="4"/>
        <v>Breached</v>
      </c>
    </row>
    <row r="69">
      <c r="A69" s="1" t="s">
        <v>155</v>
      </c>
      <c r="B69" s="1" t="s">
        <v>18</v>
      </c>
      <c r="C69" s="1" t="s">
        <v>35</v>
      </c>
      <c r="D69" s="6" t="s">
        <v>156</v>
      </c>
      <c r="E69" s="6" t="s">
        <v>157</v>
      </c>
      <c r="F69" s="6">
        <v>48.0</v>
      </c>
      <c r="G69" s="1" t="s">
        <v>14</v>
      </c>
      <c r="H69" s="7">
        <f t="shared" ref="H69:I69" si="70">DATE(MID(D69,7,4), MID(D69,4,2), LEFT(D69,2)) + TIMEVALUE(MID(D69,12,5))
</f>
        <v>46071.33333</v>
      </c>
      <c r="I69" s="7">
        <f t="shared" si="70"/>
        <v>46073.45833</v>
      </c>
      <c r="J69" s="4">
        <f t="shared" si="3"/>
        <v>51</v>
      </c>
      <c r="K69" s="4" t="str">
        <f t="shared" si="4"/>
        <v>Breached</v>
      </c>
    </row>
    <row r="70">
      <c r="A70" s="1" t="s">
        <v>158</v>
      </c>
      <c r="B70" s="1" t="s">
        <v>11</v>
      </c>
      <c r="C70" s="1" t="s">
        <v>19</v>
      </c>
      <c r="D70" s="5">
        <v>46113.458333333336</v>
      </c>
      <c r="E70" s="5">
        <v>46143.666666666664</v>
      </c>
      <c r="F70" s="6">
        <v>24.0</v>
      </c>
      <c r="G70" s="1" t="s">
        <v>14</v>
      </c>
      <c r="H70" s="7">
        <f t="shared" ref="H70:I70" si="71">DATE(MID(D70,7,4), MID(D70,4,2), LEFT(D70,2)) + TIMEVALUE(MID(D70,12,5))
</f>
        <v>46026.45833</v>
      </c>
      <c r="I70" s="7">
        <f t="shared" si="71"/>
        <v>46027.66667</v>
      </c>
      <c r="J70" s="4">
        <f t="shared" si="3"/>
        <v>29</v>
      </c>
      <c r="K70" s="4" t="str">
        <f t="shared" si="4"/>
        <v>Breached</v>
      </c>
    </row>
    <row r="71">
      <c r="A71" s="1" t="s">
        <v>159</v>
      </c>
      <c r="B71" s="1" t="s">
        <v>16</v>
      </c>
      <c r="C71" s="1" t="s">
        <v>19</v>
      </c>
      <c r="D71" s="5">
        <v>46174.583333333336</v>
      </c>
      <c r="E71" s="5">
        <v>46204.916666666664</v>
      </c>
      <c r="F71" s="6">
        <v>24.0</v>
      </c>
      <c r="G71" s="1" t="s">
        <v>14</v>
      </c>
      <c r="H71" s="7">
        <f t="shared" ref="H71:I71" si="72">DATE(MID(D71,7,4), MID(D71,4,2), LEFT(D71,2)) + TIMEVALUE(MID(D71,12,5))
</f>
        <v>46028.58333</v>
      </c>
      <c r="I71" s="7">
        <f t="shared" si="72"/>
        <v>46029.91667</v>
      </c>
      <c r="J71" s="4">
        <f t="shared" si="3"/>
        <v>32</v>
      </c>
      <c r="K71" s="4" t="str">
        <f t="shared" si="4"/>
        <v>Breached</v>
      </c>
    </row>
    <row r="72">
      <c r="A72" s="1" t="s">
        <v>160</v>
      </c>
      <c r="B72" s="1" t="s">
        <v>34</v>
      </c>
      <c r="C72" s="1" t="s">
        <v>12</v>
      </c>
      <c r="D72" s="6" t="s">
        <v>161</v>
      </c>
      <c r="E72" s="6" t="s">
        <v>162</v>
      </c>
      <c r="F72" s="6">
        <v>72.0</v>
      </c>
      <c r="G72" s="1" t="s">
        <v>14</v>
      </c>
      <c r="H72" s="7">
        <f t="shared" ref="H72:I72" si="73">DATE(MID(D72,7,4), MID(D72,4,2), LEFT(D72,2)) + TIMEVALUE(MID(D72,12,5))
</f>
        <v>46050.20833</v>
      </c>
      <c r="I72" s="7">
        <f t="shared" si="73"/>
        <v>46053</v>
      </c>
      <c r="J72" s="4">
        <f t="shared" si="3"/>
        <v>67</v>
      </c>
      <c r="K72" s="4" t="str">
        <f t="shared" si="4"/>
        <v>Within SLA</v>
      </c>
    </row>
    <row r="73">
      <c r="A73" s="1" t="s">
        <v>163</v>
      </c>
      <c r="B73" s="1" t="s">
        <v>11</v>
      </c>
      <c r="C73" s="1" t="s">
        <v>35</v>
      </c>
      <c r="D73" s="6" t="s">
        <v>164</v>
      </c>
      <c r="E73" s="6" t="s">
        <v>165</v>
      </c>
      <c r="F73" s="6">
        <v>48.0</v>
      </c>
      <c r="G73" s="1" t="s">
        <v>14</v>
      </c>
      <c r="H73" s="7">
        <f t="shared" ref="H73:I73" si="74">DATE(MID(D73,7,4), MID(D73,4,2), LEFT(D73,2)) + TIMEVALUE(MID(D73,12,5))
</f>
        <v>46097.04167</v>
      </c>
      <c r="I73" s="7">
        <f t="shared" si="74"/>
        <v>46100.20833</v>
      </c>
      <c r="J73" s="4">
        <f t="shared" si="3"/>
        <v>76</v>
      </c>
      <c r="K73" s="4" t="str">
        <f t="shared" si="4"/>
        <v>Breached</v>
      </c>
    </row>
    <row r="74">
      <c r="A74" s="1" t="s">
        <v>166</v>
      </c>
      <c r="B74" s="1" t="s">
        <v>34</v>
      </c>
      <c r="C74" s="1" t="s">
        <v>35</v>
      </c>
      <c r="D74" s="6" t="s">
        <v>167</v>
      </c>
      <c r="E74" s="6" t="s">
        <v>168</v>
      </c>
      <c r="F74" s="6">
        <v>48.0</v>
      </c>
      <c r="G74" s="1" t="s">
        <v>14</v>
      </c>
      <c r="H74" s="7">
        <f t="shared" ref="H74:I74" si="75">DATE(MID(D74,7,4), MID(D74,4,2), LEFT(D74,2)) + TIMEVALUE(MID(D74,12,5))
</f>
        <v>46049.08333</v>
      </c>
      <c r="I74" s="7">
        <f t="shared" si="75"/>
        <v>46049.58333</v>
      </c>
      <c r="J74" s="4">
        <f t="shared" si="3"/>
        <v>12</v>
      </c>
      <c r="K74" s="4" t="str">
        <f t="shared" si="4"/>
        <v>Within SLA</v>
      </c>
    </row>
    <row r="75">
      <c r="A75" s="1" t="s">
        <v>169</v>
      </c>
      <c r="B75" s="1" t="s">
        <v>11</v>
      </c>
      <c r="C75" s="1" t="s">
        <v>19</v>
      </c>
      <c r="D75" s="5">
        <v>46268.875</v>
      </c>
      <c r="E75" s="5">
        <v>46329.083333333336</v>
      </c>
      <c r="F75" s="6">
        <v>24.0</v>
      </c>
      <c r="G75" s="1" t="s">
        <v>14</v>
      </c>
      <c r="H75" s="7">
        <f t="shared" ref="H75:I75" si="76">DATE(MID(D75,7,4), MID(D75,4,2), LEFT(D75,2)) + TIMEVALUE(MID(D75,12,5))
</f>
        <v>46090.875</v>
      </c>
      <c r="I75" s="7">
        <f t="shared" si="76"/>
        <v>46092.08333</v>
      </c>
      <c r="J75" s="4">
        <f t="shared" si="3"/>
        <v>29</v>
      </c>
      <c r="K75" s="4" t="str">
        <f t="shared" si="4"/>
        <v>Breached</v>
      </c>
    </row>
    <row r="76">
      <c r="A76" s="1" t="s">
        <v>170</v>
      </c>
      <c r="B76" s="1" t="s">
        <v>34</v>
      </c>
      <c r="C76" s="1" t="s">
        <v>19</v>
      </c>
      <c r="D76" s="5">
        <v>46205.375</v>
      </c>
      <c r="E76" s="5">
        <v>46297.916666666664</v>
      </c>
      <c r="F76" s="6">
        <v>24.0</v>
      </c>
      <c r="G76" s="1" t="s">
        <v>14</v>
      </c>
      <c r="H76" s="7">
        <f t="shared" ref="H76:I76" si="77">DATE(MID(D76,7,4), MID(D76,4,2), LEFT(D76,2)) + TIMEVALUE(MID(D76,12,5))
</f>
        <v>46060.375</v>
      </c>
      <c r="I76" s="7">
        <f t="shared" si="77"/>
        <v>46063.91667</v>
      </c>
      <c r="J76" s="4">
        <f t="shared" si="3"/>
        <v>85</v>
      </c>
      <c r="K76" s="4" t="str">
        <f t="shared" si="4"/>
        <v>Breached</v>
      </c>
    </row>
    <row r="77">
      <c r="A77" s="1" t="s">
        <v>171</v>
      </c>
      <c r="B77" s="1" t="s">
        <v>34</v>
      </c>
      <c r="C77" s="1" t="s">
        <v>35</v>
      </c>
      <c r="D77" s="5">
        <v>46056.291666666664</v>
      </c>
      <c r="E77" s="5">
        <v>46084.666666666664</v>
      </c>
      <c r="F77" s="6">
        <v>48.0</v>
      </c>
      <c r="G77" s="1" t="s">
        <v>14</v>
      </c>
      <c r="H77" s="7">
        <f t="shared" ref="H77:I77" si="78">DATE(MID(D77,7,4), MID(D77,4,2), LEFT(D77,2)) + TIMEVALUE(MID(D77,12,5))
</f>
        <v>46083.29167</v>
      </c>
      <c r="I77" s="7">
        <f t="shared" si="78"/>
        <v>46084.66667</v>
      </c>
      <c r="J77" s="4">
        <f t="shared" si="3"/>
        <v>33</v>
      </c>
      <c r="K77" s="4" t="str">
        <f t="shared" si="4"/>
        <v>Within SLA</v>
      </c>
    </row>
    <row r="78">
      <c r="A78" s="1" t="s">
        <v>172</v>
      </c>
      <c r="B78" s="1" t="s">
        <v>34</v>
      </c>
      <c r="C78" s="1" t="s">
        <v>19</v>
      </c>
      <c r="D78" s="6" t="s">
        <v>173</v>
      </c>
      <c r="E78" s="6" t="s">
        <v>174</v>
      </c>
      <c r="F78" s="6">
        <v>24.0</v>
      </c>
      <c r="G78" s="1" t="s">
        <v>14</v>
      </c>
      <c r="H78" s="7">
        <f t="shared" ref="H78:I78" si="79">DATE(MID(D78,7,4), MID(D78,4,2), LEFT(D78,2)) + TIMEVALUE(MID(D78,12,5))
</f>
        <v>46070.125</v>
      </c>
      <c r="I78" s="7">
        <f t="shared" si="79"/>
        <v>46072.70833</v>
      </c>
      <c r="J78" s="4">
        <f t="shared" si="3"/>
        <v>62</v>
      </c>
      <c r="K78" s="4" t="str">
        <f t="shared" si="4"/>
        <v>Breached</v>
      </c>
    </row>
    <row r="79">
      <c r="A79" s="1" t="s">
        <v>175</v>
      </c>
      <c r="B79" s="1" t="s">
        <v>16</v>
      </c>
      <c r="C79" s="1" t="s">
        <v>12</v>
      </c>
      <c r="D79" s="5">
        <v>46204.583333333336</v>
      </c>
      <c r="E79" s="5">
        <v>46296.375</v>
      </c>
      <c r="F79" s="6">
        <v>72.0</v>
      </c>
      <c r="G79" s="1" t="s">
        <v>14</v>
      </c>
      <c r="H79" s="7">
        <f t="shared" ref="H79:I79" si="80">DATE(MID(D79,7,4), MID(D79,4,2), LEFT(D79,2)) + TIMEVALUE(MID(D79,12,5))
</f>
        <v>46029.58333</v>
      </c>
      <c r="I79" s="7">
        <f t="shared" si="80"/>
        <v>46032.375</v>
      </c>
      <c r="J79" s="4">
        <f t="shared" si="3"/>
        <v>67</v>
      </c>
      <c r="K79" s="4" t="str">
        <f t="shared" si="4"/>
        <v>Within SLA</v>
      </c>
    </row>
    <row r="80">
      <c r="A80" s="1" t="s">
        <v>176</v>
      </c>
      <c r="B80" s="1" t="s">
        <v>34</v>
      </c>
      <c r="C80" s="1" t="s">
        <v>35</v>
      </c>
      <c r="D80" s="5">
        <v>46055.166666666664</v>
      </c>
      <c r="E80" s="5">
        <v>46083.583333333336</v>
      </c>
      <c r="F80" s="6">
        <v>48.0</v>
      </c>
      <c r="G80" s="1" t="s">
        <v>14</v>
      </c>
      <c r="H80" s="7">
        <f t="shared" ref="H80:I80" si="81">DATE(MID(D80,7,4), MID(D80,4,2), LEFT(D80,2)) + TIMEVALUE(MID(D80,12,5))
</f>
        <v>46055.16667</v>
      </c>
      <c r="I80" s="7">
        <f t="shared" si="81"/>
        <v>46056.58333</v>
      </c>
      <c r="J80" s="4">
        <f t="shared" si="3"/>
        <v>34</v>
      </c>
      <c r="K80" s="4" t="str">
        <f t="shared" si="4"/>
        <v>Within SLA</v>
      </c>
    </row>
    <row r="81">
      <c r="A81" s="1" t="s">
        <v>177</v>
      </c>
      <c r="B81" s="1" t="s">
        <v>23</v>
      </c>
      <c r="C81" s="1" t="s">
        <v>12</v>
      </c>
      <c r="D81" s="6" t="s">
        <v>178</v>
      </c>
      <c r="E81" s="6" t="s">
        <v>168</v>
      </c>
      <c r="F81" s="6">
        <v>72.0</v>
      </c>
      <c r="G81" s="1" t="s">
        <v>14</v>
      </c>
      <c r="H81" s="7">
        <f t="shared" ref="H81:I81" si="82">DATE(MID(D81,7,4), MID(D81,4,2), LEFT(D81,2)) + TIMEVALUE(MID(D81,12,5))
</f>
        <v>46047.625</v>
      </c>
      <c r="I81" s="7">
        <f t="shared" si="82"/>
        <v>46049.58333</v>
      </c>
      <c r="J81" s="4">
        <f t="shared" si="3"/>
        <v>47</v>
      </c>
      <c r="K81" s="4" t="str">
        <f t="shared" si="4"/>
        <v>Within SLA</v>
      </c>
    </row>
    <row r="82">
      <c r="A82" s="1" t="s">
        <v>179</v>
      </c>
      <c r="B82" s="1" t="s">
        <v>11</v>
      </c>
      <c r="C82" s="1" t="s">
        <v>19</v>
      </c>
      <c r="D82" s="6" t="s">
        <v>180</v>
      </c>
      <c r="E82" s="6" t="s">
        <v>181</v>
      </c>
      <c r="F82" s="6">
        <v>24.0</v>
      </c>
      <c r="G82" s="1" t="s">
        <v>14</v>
      </c>
      <c r="H82" s="7">
        <f t="shared" ref="H82:I82" si="83">DATE(MID(D82,7,4), MID(D82,4,2), LEFT(D82,2)) + TIMEVALUE(MID(D82,12,5))
</f>
        <v>46040.08333</v>
      </c>
      <c r="I82" s="7">
        <f t="shared" si="83"/>
        <v>46042.91667</v>
      </c>
      <c r="J82" s="4">
        <f t="shared" si="3"/>
        <v>68</v>
      </c>
      <c r="K82" s="4" t="str">
        <f t="shared" si="4"/>
        <v>Breached</v>
      </c>
    </row>
    <row r="83">
      <c r="A83" s="1" t="s">
        <v>182</v>
      </c>
      <c r="B83" s="1" t="s">
        <v>11</v>
      </c>
      <c r="C83" s="1" t="s">
        <v>35</v>
      </c>
      <c r="D83" s="6" t="s">
        <v>183</v>
      </c>
      <c r="E83" s="6" t="s">
        <v>184</v>
      </c>
      <c r="F83" s="6">
        <v>48.0</v>
      </c>
      <c r="G83" s="1" t="s">
        <v>14</v>
      </c>
      <c r="H83" s="7">
        <f t="shared" ref="H83:I83" si="84">DATE(MID(D83,7,4), MID(D83,4,2), LEFT(D83,2)) + TIMEVALUE(MID(D83,12,5))
</f>
        <v>46044.125</v>
      </c>
      <c r="I83" s="7">
        <f t="shared" si="84"/>
        <v>46045.29167</v>
      </c>
      <c r="J83" s="4">
        <f t="shared" si="3"/>
        <v>28</v>
      </c>
      <c r="K83" s="4" t="str">
        <f t="shared" si="4"/>
        <v>Within SLA</v>
      </c>
    </row>
    <row r="84">
      <c r="A84" s="1" t="s">
        <v>185</v>
      </c>
      <c r="B84" s="1" t="s">
        <v>23</v>
      </c>
      <c r="C84" s="1" t="s">
        <v>19</v>
      </c>
      <c r="D84" s="6" t="s">
        <v>186</v>
      </c>
      <c r="E84" s="6" t="s">
        <v>20</v>
      </c>
      <c r="F84" s="6">
        <v>24.0</v>
      </c>
      <c r="G84" s="1" t="s">
        <v>14</v>
      </c>
      <c r="H84" s="7">
        <f t="shared" ref="H84:I84" si="85">DATE(MID(D84,7,4), MID(D84,4,2), LEFT(D84,2)) + TIMEVALUE(MID(D84,12,5))
</f>
        <v>46067.41667</v>
      </c>
      <c r="I84" s="7">
        <f t="shared" si="85"/>
        <v>46069.45833</v>
      </c>
      <c r="J84" s="4">
        <f t="shared" si="3"/>
        <v>49</v>
      </c>
      <c r="K84" s="4" t="str">
        <f t="shared" si="4"/>
        <v>Breached</v>
      </c>
    </row>
    <row r="85">
      <c r="A85" s="1" t="s">
        <v>187</v>
      </c>
      <c r="B85" s="1" t="s">
        <v>18</v>
      </c>
      <c r="C85" s="1" t="s">
        <v>12</v>
      </c>
      <c r="D85" s="6" t="s">
        <v>188</v>
      </c>
      <c r="E85" s="6" t="s">
        <v>119</v>
      </c>
      <c r="F85" s="6">
        <v>72.0</v>
      </c>
      <c r="G85" s="1" t="s">
        <v>14</v>
      </c>
      <c r="H85" s="7">
        <f t="shared" ref="H85:I85" si="86">DATE(MID(D85,7,4), MID(D85,4,2), LEFT(D85,2)) + TIMEVALUE(MID(D85,12,5))
</f>
        <v>46070.20833</v>
      </c>
      <c r="I85" s="7">
        <f t="shared" si="86"/>
        <v>46071.70833</v>
      </c>
      <c r="J85" s="4">
        <f t="shared" si="3"/>
        <v>36</v>
      </c>
      <c r="K85" s="4" t="str">
        <f t="shared" si="4"/>
        <v>Within SLA</v>
      </c>
    </row>
    <row r="86">
      <c r="A86" s="1" t="s">
        <v>189</v>
      </c>
      <c r="B86" s="1" t="s">
        <v>11</v>
      </c>
      <c r="C86" s="1" t="s">
        <v>35</v>
      </c>
      <c r="D86" s="5">
        <v>46205.5</v>
      </c>
      <c r="E86" s="5">
        <v>46267.625</v>
      </c>
      <c r="F86" s="6">
        <v>48.0</v>
      </c>
      <c r="G86" s="1" t="s">
        <v>14</v>
      </c>
      <c r="H86" s="7">
        <f t="shared" ref="H86:I86" si="87">DATE(MID(D86,7,4), MID(D86,4,2), LEFT(D86,2)) + TIMEVALUE(MID(D86,12,5))
</f>
        <v>46060.5</v>
      </c>
      <c r="I86" s="7">
        <f t="shared" si="87"/>
        <v>46062.625</v>
      </c>
      <c r="J86" s="4">
        <f t="shared" si="3"/>
        <v>51</v>
      </c>
      <c r="K86" s="4" t="str">
        <f t="shared" si="4"/>
        <v>Breached</v>
      </c>
    </row>
    <row r="87">
      <c r="A87" s="1" t="s">
        <v>190</v>
      </c>
      <c r="B87" s="1" t="s">
        <v>34</v>
      </c>
      <c r="C87" s="1" t="s">
        <v>35</v>
      </c>
      <c r="D87" s="6" t="s">
        <v>191</v>
      </c>
      <c r="E87" s="6" t="s">
        <v>21</v>
      </c>
      <c r="F87" s="6">
        <v>48.0</v>
      </c>
      <c r="G87" s="1" t="s">
        <v>14</v>
      </c>
      <c r="H87" s="7">
        <f t="shared" ref="H87:I87" si="88">DATE(MID(D87,7,4), MID(D87,4,2), LEFT(D87,2)) + TIMEVALUE(MID(D87,12,5))
</f>
        <v>46067.125</v>
      </c>
      <c r="I87" s="7">
        <f t="shared" si="88"/>
        <v>46070.625</v>
      </c>
      <c r="J87" s="4">
        <f t="shared" si="3"/>
        <v>84</v>
      </c>
      <c r="K87" s="4" t="str">
        <f t="shared" si="4"/>
        <v>Breached</v>
      </c>
    </row>
    <row r="88">
      <c r="A88" s="1" t="s">
        <v>192</v>
      </c>
      <c r="B88" s="1" t="s">
        <v>16</v>
      </c>
      <c r="C88" s="1" t="s">
        <v>12</v>
      </c>
      <c r="D88" s="5">
        <v>46205.75</v>
      </c>
      <c r="E88" s="5">
        <v>46236.875</v>
      </c>
      <c r="F88" s="6">
        <v>72.0</v>
      </c>
      <c r="G88" s="1" t="s">
        <v>14</v>
      </c>
      <c r="H88" s="7">
        <f t="shared" ref="H88:I88" si="89">DATE(MID(D88,7,4), MID(D88,4,2), LEFT(D88,2)) + TIMEVALUE(MID(D88,12,5))
</f>
        <v>46060.75</v>
      </c>
      <c r="I88" s="7">
        <f t="shared" si="89"/>
        <v>46061.875</v>
      </c>
      <c r="J88" s="4">
        <f t="shared" si="3"/>
        <v>27</v>
      </c>
      <c r="K88" s="4" t="str">
        <f t="shared" si="4"/>
        <v>Within SLA</v>
      </c>
    </row>
    <row r="89">
      <c r="A89" s="1" t="s">
        <v>193</v>
      </c>
      <c r="B89" s="1" t="s">
        <v>23</v>
      </c>
      <c r="C89" s="1" t="s">
        <v>19</v>
      </c>
      <c r="D89" s="6" t="s">
        <v>194</v>
      </c>
      <c r="E89" s="6" t="s">
        <v>195</v>
      </c>
      <c r="F89" s="6">
        <v>24.0</v>
      </c>
      <c r="G89" s="1" t="s">
        <v>14</v>
      </c>
      <c r="H89" s="7">
        <f t="shared" ref="H89:I89" si="90">DATE(MID(D89,7,4), MID(D89,4,2), LEFT(D89,2)) + TIMEVALUE(MID(D89,12,5))
</f>
        <v>46097.29167</v>
      </c>
      <c r="I89" s="7">
        <f t="shared" si="90"/>
        <v>46100.54167</v>
      </c>
      <c r="J89" s="4">
        <f t="shared" si="3"/>
        <v>78</v>
      </c>
      <c r="K89" s="4" t="str">
        <f t="shared" si="4"/>
        <v>Breached</v>
      </c>
    </row>
    <row r="90">
      <c r="A90" s="1" t="s">
        <v>196</v>
      </c>
      <c r="B90" s="1" t="s">
        <v>11</v>
      </c>
      <c r="C90" s="1" t="s">
        <v>35</v>
      </c>
      <c r="D90" s="6" t="s">
        <v>197</v>
      </c>
      <c r="E90" s="6" t="s">
        <v>198</v>
      </c>
      <c r="F90" s="6">
        <v>48.0</v>
      </c>
      <c r="G90" s="1" t="s">
        <v>14</v>
      </c>
      <c r="H90" s="7">
        <f t="shared" ref="H90:I90" si="91">DATE(MID(D90,7,4), MID(D90,4,2), LEFT(D90,2)) + TIMEVALUE(MID(D90,12,5))
</f>
        <v>46096.29167</v>
      </c>
      <c r="I90" s="7">
        <f t="shared" si="91"/>
        <v>46099.66667</v>
      </c>
      <c r="J90" s="4">
        <f t="shared" si="3"/>
        <v>81</v>
      </c>
      <c r="K90" s="4" t="str">
        <f t="shared" si="4"/>
        <v>Breached</v>
      </c>
    </row>
    <row r="91">
      <c r="A91" s="1" t="s">
        <v>199</v>
      </c>
      <c r="B91" s="1" t="s">
        <v>23</v>
      </c>
      <c r="C91" s="1" t="s">
        <v>12</v>
      </c>
      <c r="D91" s="6" t="s">
        <v>200</v>
      </c>
      <c r="E91" s="6" t="s">
        <v>201</v>
      </c>
      <c r="F91" s="6">
        <v>72.0</v>
      </c>
      <c r="G91" s="1" t="s">
        <v>14</v>
      </c>
      <c r="H91" s="7">
        <f t="shared" ref="H91:I91" si="92">DATE(MID(D91,7,4), MID(D91,4,2), LEFT(D91,2)) + TIMEVALUE(MID(D91,12,5))
</f>
        <v>46100.70833</v>
      </c>
      <c r="I91" s="7">
        <f t="shared" si="92"/>
        <v>46102.83333</v>
      </c>
      <c r="J91" s="4">
        <f t="shared" si="3"/>
        <v>51</v>
      </c>
      <c r="K91" s="4" t="str">
        <f t="shared" si="4"/>
        <v>Within SLA</v>
      </c>
    </row>
    <row r="92">
      <c r="A92" s="1" t="s">
        <v>202</v>
      </c>
      <c r="B92" s="1" t="s">
        <v>16</v>
      </c>
      <c r="C92" s="1" t="s">
        <v>19</v>
      </c>
      <c r="D92" s="6" t="s">
        <v>97</v>
      </c>
      <c r="E92" s="6" t="s">
        <v>203</v>
      </c>
      <c r="F92" s="6">
        <v>24.0</v>
      </c>
      <c r="G92" s="1" t="s">
        <v>14</v>
      </c>
      <c r="H92" s="7">
        <f t="shared" ref="H92:I92" si="93">DATE(MID(D92,7,4), MID(D92,4,2), LEFT(D92,2)) + TIMEVALUE(MID(D92,12,5))
</f>
        <v>46052.25</v>
      </c>
      <c r="I92" s="7">
        <f t="shared" si="93"/>
        <v>46053.70833</v>
      </c>
      <c r="J92" s="4">
        <f t="shared" si="3"/>
        <v>35</v>
      </c>
      <c r="K92" s="4" t="str">
        <f t="shared" si="4"/>
        <v>Breached</v>
      </c>
    </row>
    <row r="93">
      <c r="A93" s="1" t="s">
        <v>204</v>
      </c>
      <c r="B93" s="1" t="s">
        <v>11</v>
      </c>
      <c r="C93" s="1" t="s">
        <v>35</v>
      </c>
      <c r="D93" s="6" t="s">
        <v>25</v>
      </c>
      <c r="E93" s="6" t="s">
        <v>205</v>
      </c>
      <c r="F93" s="6">
        <v>48.0</v>
      </c>
      <c r="G93" s="1" t="s">
        <v>14</v>
      </c>
      <c r="H93" s="7">
        <f t="shared" ref="H93:I93" si="94">DATE(MID(D93,7,4), MID(D93,4,2), LEFT(D93,2)) + TIMEVALUE(MID(D93,12,5))
</f>
        <v>46078.29167</v>
      </c>
      <c r="I93" s="7">
        <f t="shared" si="94"/>
        <v>46080.45833</v>
      </c>
      <c r="J93" s="4">
        <f t="shared" si="3"/>
        <v>52</v>
      </c>
      <c r="K93" s="4" t="str">
        <f t="shared" si="4"/>
        <v>Breached</v>
      </c>
    </row>
    <row r="94">
      <c r="A94" s="1" t="s">
        <v>206</v>
      </c>
      <c r="B94" s="1" t="s">
        <v>11</v>
      </c>
      <c r="C94" s="1" t="s">
        <v>19</v>
      </c>
      <c r="D94" s="6" t="s">
        <v>207</v>
      </c>
      <c r="E94" s="6" t="s">
        <v>208</v>
      </c>
      <c r="F94" s="6">
        <v>24.0</v>
      </c>
      <c r="G94" s="1" t="s">
        <v>14</v>
      </c>
      <c r="H94" s="7">
        <f t="shared" ref="H94:I94" si="95">DATE(MID(D94,7,4), MID(D94,4,2), LEFT(D94,2)) + TIMEVALUE(MID(D94,12,5))
</f>
        <v>46040.875</v>
      </c>
      <c r="I94" s="7">
        <f t="shared" si="95"/>
        <v>46041.66667</v>
      </c>
      <c r="J94" s="4">
        <f t="shared" si="3"/>
        <v>19</v>
      </c>
      <c r="K94" s="4" t="str">
        <f t="shared" si="4"/>
        <v>Within SLA</v>
      </c>
    </row>
    <row r="95">
      <c r="A95" s="1" t="s">
        <v>209</v>
      </c>
      <c r="B95" s="1" t="s">
        <v>23</v>
      </c>
      <c r="C95" s="1" t="s">
        <v>35</v>
      </c>
      <c r="D95" s="5">
        <v>46358.708333333336</v>
      </c>
      <c r="E95" s="6" t="s">
        <v>210</v>
      </c>
      <c r="F95" s="6">
        <v>48.0</v>
      </c>
      <c r="G95" s="1" t="s">
        <v>14</v>
      </c>
      <c r="H95" s="7">
        <f t="shared" ref="H95:I95" si="96">DATE(MID(D95,7,4), MID(D95,4,2), LEFT(D95,2)) + TIMEVALUE(MID(D95,12,5))
</f>
        <v>46065.70833</v>
      </c>
      <c r="I95" s="7">
        <f t="shared" si="96"/>
        <v>46068.70833</v>
      </c>
      <c r="J95" s="4">
        <f t="shared" si="3"/>
        <v>72</v>
      </c>
      <c r="K95" s="4" t="str">
        <f t="shared" si="4"/>
        <v>Breached</v>
      </c>
    </row>
    <row r="96">
      <c r="A96" s="1" t="s">
        <v>211</v>
      </c>
      <c r="B96" s="1" t="s">
        <v>18</v>
      </c>
      <c r="C96" s="1" t="s">
        <v>19</v>
      </c>
      <c r="D96" s="6" t="s">
        <v>212</v>
      </c>
      <c r="E96" s="6" t="s">
        <v>213</v>
      </c>
      <c r="F96" s="6">
        <v>24.0</v>
      </c>
      <c r="G96" s="1" t="s">
        <v>14</v>
      </c>
      <c r="H96" s="7">
        <f t="shared" ref="H96:I96" si="97">DATE(MID(D96,7,4), MID(D96,4,2), LEFT(D96,2)) + TIMEVALUE(MID(D96,12,5))
</f>
        <v>46036.91667</v>
      </c>
      <c r="I96" s="7">
        <f t="shared" si="97"/>
        <v>46038.79167</v>
      </c>
      <c r="J96" s="4">
        <f t="shared" si="3"/>
        <v>45</v>
      </c>
      <c r="K96" s="4" t="str">
        <f t="shared" si="4"/>
        <v>Breached</v>
      </c>
    </row>
    <row r="97">
      <c r="A97" s="1" t="s">
        <v>214</v>
      </c>
      <c r="B97" s="1" t="s">
        <v>11</v>
      </c>
      <c r="C97" s="1" t="s">
        <v>12</v>
      </c>
      <c r="D97" s="6" t="s">
        <v>215</v>
      </c>
      <c r="E97" s="5">
        <v>46083.041666666664</v>
      </c>
      <c r="F97" s="6">
        <v>72.0</v>
      </c>
      <c r="G97" s="1" t="s">
        <v>14</v>
      </c>
      <c r="H97" s="7">
        <f t="shared" ref="H97:I97" si="98">DATE(MID(D97,7,4), MID(D97,4,2), LEFT(D97,2)) + TIMEVALUE(MID(D97,12,5))
</f>
        <v>46052.79167</v>
      </c>
      <c r="I97" s="7">
        <f t="shared" si="98"/>
        <v>46056.04167</v>
      </c>
      <c r="J97" s="4">
        <f t="shared" si="3"/>
        <v>78</v>
      </c>
      <c r="K97" s="4" t="str">
        <f t="shared" si="4"/>
        <v>Breached</v>
      </c>
    </row>
    <row r="98">
      <c r="A98" s="1" t="s">
        <v>216</v>
      </c>
      <c r="B98" s="1" t="s">
        <v>34</v>
      </c>
      <c r="C98" s="1" t="s">
        <v>35</v>
      </c>
      <c r="D98" s="6" t="s">
        <v>36</v>
      </c>
      <c r="E98" s="6" t="s">
        <v>217</v>
      </c>
      <c r="F98" s="6">
        <v>48.0</v>
      </c>
      <c r="G98" s="1" t="s">
        <v>14</v>
      </c>
      <c r="H98" s="7">
        <f t="shared" ref="H98:I98" si="99">DATE(MID(D98,7,4), MID(D98,4,2), LEFT(D98,2)) + TIMEVALUE(MID(D98,12,5))
</f>
        <v>46037.41667</v>
      </c>
      <c r="I98" s="7">
        <f t="shared" si="99"/>
        <v>46038.45833</v>
      </c>
      <c r="J98" s="4">
        <f t="shared" si="3"/>
        <v>25</v>
      </c>
      <c r="K98" s="4" t="str">
        <f t="shared" si="4"/>
        <v>Within SLA</v>
      </c>
    </row>
    <row r="99">
      <c r="A99" s="1" t="s">
        <v>218</v>
      </c>
      <c r="B99" s="1" t="s">
        <v>34</v>
      </c>
      <c r="C99" s="1" t="s">
        <v>19</v>
      </c>
      <c r="D99" s="6" t="s">
        <v>219</v>
      </c>
      <c r="E99" s="6" t="s">
        <v>220</v>
      </c>
      <c r="F99" s="6">
        <v>24.0</v>
      </c>
      <c r="G99" s="1" t="s">
        <v>14</v>
      </c>
      <c r="H99" s="7">
        <f t="shared" ref="H99:I99" si="100">DATE(MID(D99,7,4), MID(D99,4,2), LEFT(D99,2)) + TIMEVALUE(MID(D99,12,5))
</f>
        <v>46099.04167</v>
      </c>
      <c r="I99" s="7">
        <f t="shared" si="100"/>
        <v>46101.91667</v>
      </c>
      <c r="J99" s="4">
        <f t="shared" si="3"/>
        <v>69</v>
      </c>
      <c r="K99" s="4" t="str">
        <f t="shared" si="4"/>
        <v>Breached</v>
      </c>
    </row>
    <row r="100">
      <c r="A100" s="1" t="s">
        <v>221</v>
      </c>
      <c r="B100" s="1" t="s">
        <v>16</v>
      </c>
      <c r="C100" s="1" t="s">
        <v>12</v>
      </c>
      <c r="D100" s="5">
        <v>46205.833333333336</v>
      </c>
      <c r="E100" s="5">
        <v>46297.166666666664</v>
      </c>
      <c r="F100" s="6">
        <v>72.0</v>
      </c>
      <c r="G100" s="1" t="s">
        <v>14</v>
      </c>
      <c r="H100" s="7">
        <f t="shared" ref="H100:I100" si="101">DATE(MID(D100,7,4), MID(D100,4,2), LEFT(D100,2)) + TIMEVALUE(MID(D100,12,5))
</f>
        <v>46060.83333</v>
      </c>
      <c r="I100" s="7">
        <f t="shared" si="101"/>
        <v>46063.16667</v>
      </c>
      <c r="J100" s="4">
        <f t="shared" si="3"/>
        <v>56</v>
      </c>
      <c r="K100" s="4" t="str">
        <f t="shared" si="4"/>
        <v>Within SLA</v>
      </c>
    </row>
    <row r="101">
      <c r="A101" s="1" t="s">
        <v>222</v>
      </c>
      <c r="B101" s="1" t="s">
        <v>23</v>
      </c>
      <c r="C101" s="1" t="s">
        <v>12</v>
      </c>
      <c r="D101" s="6" t="s">
        <v>223</v>
      </c>
      <c r="E101" s="6" t="s">
        <v>224</v>
      </c>
      <c r="F101" s="6">
        <v>72.0</v>
      </c>
      <c r="G101" s="1" t="s">
        <v>14</v>
      </c>
      <c r="H101" s="7">
        <f t="shared" ref="H101:I101" si="102">DATE(MID(D101,7,4), MID(D101,4,2), LEFT(D101,2)) + TIMEVALUE(MID(D101,12,5))
</f>
        <v>46077.41667</v>
      </c>
      <c r="I101" s="7">
        <f t="shared" si="102"/>
        <v>46079.45833</v>
      </c>
      <c r="J101" s="4">
        <f t="shared" si="3"/>
        <v>49</v>
      </c>
      <c r="K101" s="4" t="str">
        <f t="shared" si="4"/>
        <v>Within SLA</v>
      </c>
    </row>
    <row r="102">
      <c r="A102" s="1" t="s">
        <v>225</v>
      </c>
      <c r="B102" s="1" t="s">
        <v>23</v>
      </c>
      <c r="C102" s="1" t="s">
        <v>35</v>
      </c>
      <c r="D102" s="5">
        <v>46115.583333333336</v>
      </c>
      <c r="E102" s="5">
        <v>46145.458333333336</v>
      </c>
      <c r="F102" s="6">
        <v>48.0</v>
      </c>
      <c r="G102" s="1" t="s">
        <v>14</v>
      </c>
      <c r="H102" s="7">
        <f t="shared" ref="H102:I102" si="103">DATE(MID(D102,7,4), MID(D102,4,2), LEFT(D102,2)) + TIMEVALUE(MID(D102,12,5))
</f>
        <v>46085.58333</v>
      </c>
      <c r="I102" s="7">
        <f t="shared" si="103"/>
        <v>46086.45833</v>
      </c>
      <c r="J102" s="4">
        <f t="shared" si="3"/>
        <v>21</v>
      </c>
      <c r="K102" s="4" t="str">
        <f t="shared" si="4"/>
        <v>Within SLA</v>
      </c>
    </row>
    <row r="103">
      <c r="A103" s="1" t="s">
        <v>226</v>
      </c>
      <c r="B103" s="1" t="s">
        <v>16</v>
      </c>
      <c r="C103" s="1" t="s">
        <v>19</v>
      </c>
      <c r="D103" s="6" t="s">
        <v>227</v>
      </c>
      <c r="E103" s="5">
        <v>46024.875</v>
      </c>
      <c r="F103" s="6">
        <v>24.0</v>
      </c>
      <c r="G103" s="1" t="s">
        <v>14</v>
      </c>
      <c r="H103" s="7">
        <f t="shared" ref="H103:I103" si="104">DATE(MID(D103,7,4), MID(D103,4,2), LEFT(D103,2)) + TIMEVALUE(MID(D103,12,5))
</f>
        <v>46052.33333</v>
      </c>
      <c r="I103" s="7">
        <f t="shared" si="104"/>
        <v>46054.875</v>
      </c>
      <c r="J103" s="4">
        <f t="shared" si="3"/>
        <v>61</v>
      </c>
      <c r="K103" s="4" t="str">
        <f t="shared" si="4"/>
        <v>Breached</v>
      </c>
    </row>
    <row r="104">
      <c r="A104" s="1" t="s">
        <v>228</v>
      </c>
      <c r="B104" s="1" t="s">
        <v>11</v>
      </c>
      <c r="C104" s="1" t="s">
        <v>35</v>
      </c>
      <c r="D104" s="6" t="s">
        <v>229</v>
      </c>
      <c r="E104" s="6" t="s">
        <v>230</v>
      </c>
      <c r="F104" s="6">
        <v>48.0</v>
      </c>
      <c r="G104" s="1" t="s">
        <v>14</v>
      </c>
      <c r="H104" s="7">
        <f t="shared" ref="H104:I104" si="105">DATE(MID(D104,7,4), MID(D104,4,2), LEFT(D104,2)) + TIMEVALUE(MID(D104,12,5))
</f>
        <v>46066.08333</v>
      </c>
      <c r="I104" s="7">
        <f t="shared" si="105"/>
        <v>46067</v>
      </c>
      <c r="J104" s="4">
        <f t="shared" si="3"/>
        <v>22</v>
      </c>
      <c r="K104" s="4" t="str">
        <f t="shared" si="4"/>
        <v>Within SLA</v>
      </c>
    </row>
    <row r="105">
      <c r="A105" s="1" t="s">
        <v>231</v>
      </c>
      <c r="B105" s="1" t="s">
        <v>18</v>
      </c>
      <c r="C105" s="1" t="s">
        <v>35</v>
      </c>
      <c r="D105" s="5">
        <v>46266.5</v>
      </c>
      <c r="E105" s="6" t="s">
        <v>232</v>
      </c>
      <c r="F105" s="6">
        <v>48.0</v>
      </c>
      <c r="G105" s="1" t="s">
        <v>14</v>
      </c>
      <c r="H105" s="7">
        <f t="shared" ref="H105:I105" si="106">DATE(MID(D105,7,4), MID(D105,4,2), LEFT(D105,2)) + TIMEVALUE(MID(D105,12,5))
</f>
        <v>46031.5</v>
      </c>
      <c r="I105" s="7">
        <f t="shared" si="106"/>
        <v>46035.29167</v>
      </c>
      <c r="J105" s="4">
        <f t="shared" si="3"/>
        <v>91</v>
      </c>
      <c r="K105" s="4" t="str">
        <f t="shared" si="4"/>
        <v>Breached</v>
      </c>
    </row>
    <row r="106">
      <c r="A106" s="1" t="s">
        <v>233</v>
      </c>
      <c r="B106" s="1" t="s">
        <v>34</v>
      </c>
      <c r="C106" s="1" t="s">
        <v>35</v>
      </c>
      <c r="D106" s="6" t="s">
        <v>234</v>
      </c>
      <c r="E106" s="6" t="s">
        <v>235</v>
      </c>
      <c r="F106" s="6">
        <v>48.0</v>
      </c>
      <c r="G106" s="1" t="s">
        <v>14</v>
      </c>
      <c r="H106" s="7">
        <f t="shared" ref="H106:I106" si="107">DATE(MID(D106,7,4), MID(D106,4,2), LEFT(D106,2)) + TIMEVALUE(MID(D106,12,5))
</f>
        <v>46048.5</v>
      </c>
      <c r="I106" s="7">
        <f t="shared" si="107"/>
        <v>46051.83333</v>
      </c>
      <c r="J106" s="4">
        <f t="shared" si="3"/>
        <v>80</v>
      </c>
      <c r="K106" s="4" t="str">
        <f t="shared" si="4"/>
        <v>Breached</v>
      </c>
    </row>
    <row r="107">
      <c r="A107" s="1" t="s">
        <v>236</v>
      </c>
      <c r="B107" s="1" t="s">
        <v>16</v>
      </c>
      <c r="C107" s="1" t="s">
        <v>35</v>
      </c>
      <c r="D107" s="5">
        <v>46328.333333333336</v>
      </c>
      <c r="E107" s="5">
        <v>46358.5</v>
      </c>
      <c r="F107" s="6">
        <v>48.0</v>
      </c>
      <c r="G107" s="1" t="s">
        <v>14</v>
      </c>
      <c r="H107" s="7">
        <f t="shared" ref="H107:I107" si="108">DATE(MID(D107,7,4), MID(D107,4,2), LEFT(D107,2)) + TIMEVALUE(MID(D107,12,5))
</f>
        <v>46064.33333</v>
      </c>
      <c r="I107" s="7">
        <f t="shared" si="108"/>
        <v>46065.5</v>
      </c>
      <c r="J107" s="4">
        <f t="shared" si="3"/>
        <v>28</v>
      </c>
      <c r="K107" s="4" t="str">
        <f t="shared" si="4"/>
        <v>Within SLA</v>
      </c>
    </row>
    <row r="108">
      <c r="A108" s="1" t="s">
        <v>237</v>
      </c>
      <c r="B108" s="1" t="s">
        <v>18</v>
      </c>
      <c r="C108" s="1" t="s">
        <v>12</v>
      </c>
      <c r="D108" s="6" t="s">
        <v>238</v>
      </c>
      <c r="E108" s="6" t="s">
        <v>239</v>
      </c>
      <c r="F108" s="6">
        <v>72.0</v>
      </c>
      <c r="G108" s="1" t="s">
        <v>14</v>
      </c>
      <c r="H108" s="7">
        <f t="shared" ref="H108:I108" si="109">DATE(MID(D108,7,4), MID(D108,4,2), LEFT(D108,2)) + TIMEVALUE(MID(D108,12,5))
</f>
        <v>46048.45833</v>
      </c>
      <c r="I108" s="7">
        <f t="shared" si="109"/>
        <v>46050.91667</v>
      </c>
      <c r="J108" s="4">
        <f t="shared" si="3"/>
        <v>59</v>
      </c>
      <c r="K108" s="4" t="str">
        <f t="shared" si="4"/>
        <v>Within SLA</v>
      </c>
    </row>
    <row r="109">
      <c r="A109" s="1" t="s">
        <v>240</v>
      </c>
      <c r="B109" s="1" t="s">
        <v>23</v>
      </c>
      <c r="C109" s="1" t="s">
        <v>19</v>
      </c>
      <c r="D109" s="6" t="s">
        <v>241</v>
      </c>
      <c r="E109" s="6" t="s">
        <v>242</v>
      </c>
      <c r="F109" s="6">
        <v>24.0</v>
      </c>
      <c r="G109" s="1" t="s">
        <v>14</v>
      </c>
      <c r="H109" s="7">
        <f t="shared" ref="H109:I109" si="110">DATE(MID(D109,7,4), MID(D109,4,2), LEFT(D109,2)) + TIMEVALUE(MID(D109,12,5))
</f>
        <v>46098.08333</v>
      </c>
      <c r="I109" s="7">
        <f t="shared" si="110"/>
        <v>46099.875</v>
      </c>
      <c r="J109" s="4">
        <f t="shared" si="3"/>
        <v>43</v>
      </c>
      <c r="K109" s="4" t="str">
        <f t="shared" si="4"/>
        <v>Breached</v>
      </c>
    </row>
    <row r="110">
      <c r="A110" s="1" t="s">
        <v>243</v>
      </c>
      <c r="B110" s="1" t="s">
        <v>18</v>
      </c>
      <c r="C110" s="1" t="s">
        <v>19</v>
      </c>
      <c r="D110" s="6" t="s">
        <v>244</v>
      </c>
      <c r="E110" s="6" t="s">
        <v>245</v>
      </c>
      <c r="F110" s="6">
        <v>24.0</v>
      </c>
      <c r="G110" s="1" t="s">
        <v>14</v>
      </c>
      <c r="H110" s="7">
        <f t="shared" ref="H110:I110" si="111">DATE(MID(D110,7,4), MID(D110,4,2), LEFT(D110,2)) + TIMEVALUE(MID(D110,12,5))
</f>
        <v>46094.95833</v>
      </c>
      <c r="I110" s="7">
        <f t="shared" si="111"/>
        <v>46096.125</v>
      </c>
      <c r="J110" s="4">
        <f t="shared" si="3"/>
        <v>28</v>
      </c>
      <c r="K110" s="4" t="str">
        <f t="shared" si="4"/>
        <v>Breached</v>
      </c>
    </row>
    <row r="111">
      <c r="A111" s="1" t="s">
        <v>246</v>
      </c>
      <c r="B111" s="1" t="s">
        <v>34</v>
      </c>
      <c r="C111" s="1" t="s">
        <v>35</v>
      </c>
      <c r="D111" s="5">
        <v>46024.541666666664</v>
      </c>
      <c r="E111" s="5">
        <v>46114.833333333336</v>
      </c>
      <c r="F111" s="6">
        <v>48.0</v>
      </c>
      <c r="G111" s="1" t="s">
        <v>14</v>
      </c>
      <c r="H111" s="7">
        <f t="shared" ref="H111:I111" si="112">DATE(MID(D111,7,4), MID(D111,4,2), LEFT(D111,2)) + TIMEVALUE(MID(D111,12,5))
</f>
        <v>46054.54167</v>
      </c>
      <c r="I111" s="7">
        <f t="shared" si="112"/>
        <v>46057.83333</v>
      </c>
      <c r="J111" s="4">
        <f t="shared" si="3"/>
        <v>79</v>
      </c>
      <c r="K111" s="4" t="str">
        <f t="shared" si="4"/>
        <v>Breached</v>
      </c>
    </row>
    <row r="112">
      <c r="A112" s="1" t="s">
        <v>247</v>
      </c>
      <c r="B112" s="1" t="s">
        <v>11</v>
      </c>
      <c r="C112" s="1" t="s">
        <v>12</v>
      </c>
      <c r="D112" s="6" t="s">
        <v>248</v>
      </c>
      <c r="E112" s="6" t="s">
        <v>249</v>
      </c>
      <c r="F112" s="6">
        <v>72.0</v>
      </c>
      <c r="G112" s="1" t="s">
        <v>14</v>
      </c>
      <c r="H112" s="7">
        <f t="shared" ref="H112:I112" si="113">DATE(MID(D112,7,4), MID(D112,4,2), LEFT(D112,2)) + TIMEVALUE(MID(D112,12,5))
</f>
        <v>46070.16667</v>
      </c>
      <c r="I112" s="7">
        <f t="shared" si="113"/>
        <v>46073.08333</v>
      </c>
      <c r="J112" s="4">
        <f t="shared" si="3"/>
        <v>70</v>
      </c>
      <c r="K112" s="4" t="str">
        <f t="shared" si="4"/>
        <v>Within SLA</v>
      </c>
    </row>
    <row r="113">
      <c r="A113" s="1" t="s">
        <v>250</v>
      </c>
      <c r="B113" s="1" t="s">
        <v>11</v>
      </c>
      <c r="C113" s="1" t="s">
        <v>35</v>
      </c>
      <c r="D113" s="5">
        <v>46236.208333333336</v>
      </c>
      <c r="E113" s="5">
        <v>46297.541666666664</v>
      </c>
      <c r="F113" s="6">
        <v>48.0</v>
      </c>
      <c r="G113" s="1" t="s">
        <v>14</v>
      </c>
      <c r="H113" s="7">
        <f t="shared" ref="H113:I113" si="114">DATE(MID(D113,7,4), MID(D113,4,2), LEFT(D113,2)) + TIMEVALUE(MID(D113,12,5))
</f>
        <v>46061.20833</v>
      </c>
      <c r="I113" s="7">
        <f t="shared" si="114"/>
        <v>46063.54167</v>
      </c>
      <c r="J113" s="4">
        <f t="shared" si="3"/>
        <v>56</v>
      </c>
      <c r="K113" s="4" t="str">
        <f t="shared" si="4"/>
        <v>Breached</v>
      </c>
    </row>
    <row r="114">
      <c r="A114" s="1" t="s">
        <v>251</v>
      </c>
      <c r="B114" s="1" t="s">
        <v>34</v>
      </c>
      <c r="C114" s="1" t="s">
        <v>19</v>
      </c>
      <c r="D114" s="6" t="s">
        <v>252</v>
      </c>
      <c r="E114" s="6" t="s">
        <v>253</v>
      </c>
      <c r="F114" s="6">
        <v>24.0</v>
      </c>
      <c r="G114" s="1" t="s">
        <v>14</v>
      </c>
      <c r="H114" s="7">
        <f t="shared" ref="H114:I114" si="115">DATE(MID(D114,7,4), MID(D114,4,2), LEFT(D114,2)) + TIMEVALUE(MID(D114,12,5))
</f>
        <v>46046.33333</v>
      </c>
      <c r="I114" s="7">
        <f t="shared" si="115"/>
        <v>46047.04167</v>
      </c>
      <c r="J114" s="4">
        <f t="shared" si="3"/>
        <v>17</v>
      </c>
      <c r="K114" s="4" t="str">
        <f t="shared" si="4"/>
        <v>Within SLA</v>
      </c>
    </row>
    <row r="115">
      <c r="A115" s="1" t="s">
        <v>254</v>
      </c>
      <c r="B115" s="1" t="s">
        <v>11</v>
      </c>
      <c r="C115" s="1" t="s">
        <v>12</v>
      </c>
      <c r="D115" s="6" t="s">
        <v>255</v>
      </c>
      <c r="E115" s="6" t="s">
        <v>256</v>
      </c>
      <c r="F115" s="6">
        <v>72.0</v>
      </c>
      <c r="G115" s="1" t="s">
        <v>14</v>
      </c>
      <c r="H115" s="7">
        <f t="shared" ref="H115:I115" si="116">DATE(MID(D115,7,4), MID(D115,4,2), LEFT(D115,2)) + TIMEVALUE(MID(D115,12,5))
</f>
        <v>46104.5</v>
      </c>
      <c r="I115" s="7">
        <f t="shared" si="116"/>
        <v>46107.83333</v>
      </c>
      <c r="J115" s="4">
        <f t="shared" si="3"/>
        <v>80</v>
      </c>
      <c r="K115" s="4" t="str">
        <f t="shared" si="4"/>
        <v>Breached</v>
      </c>
    </row>
    <row r="116">
      <c r="A116" s="1" t="s">
        <v>257</v>
      </c>
      <c r="B116" s="1" t="s">
        <v>16</v>
      </c>
      <c r="C116" s="1" t="s">
        <v>12</v>
      </c>
      <c r="D116" s="6" t="s">
        <v>258</v>
      </c>
      <c r="E116" s="6" t="s">
        <v>259</v>
      </c>
      <c r="F116" s="6">
        <v>72.0</v>
      </c>
      <c r="G116" s="1" t="s">
        <v>14</v>
      </c>
      <c r="H116" s="7">
        <f t="shared" ref="H116:I116" si="117">DATE(MID(D116,7,4), MID(D116,4,2), LEFT(D116,2)) + TIMEVALUE(MID(D116,12,5))
</f>
        <v>46073.25</v>
      </c>
      <c r="I116" s="7">
        <f t="shared" si="117"/>
        <v>46075.66667</v>
      </c>
      <c r="J116" s="4">
        <f t="shared" si="3"/>
        <v>58</v>
      </c>
      <c r="K116" s="4" t="str">
        <f t="shared" si="4"/>
        <v>Within SLA</v>
      </c>
    </row>
    <row r="117">
      <c r="A117" s="1" t="s">
        <v>260</v>
      </c>
      <c r="B117" s="1" t="s">
        <v>34</v>
      </c>
      <c r="C117" s="1" t="s">
        <v>19</v>
      </c>
      <c r="D117" s="6" t="s">
        <v>261</v>
      </c>
      <c r="E117" s="6" t="s">
        <v>262</v>
      </c>
      <c r="F117" s="6">
        <v>24.0</v>
      </c>
      <c r="G117" s="1" t="s">
        <v>14</v>
      </c>
      <c r="H117" s="7">
        <f t="shared" ref="H117:I117" si="118">DATE(MID(D117,7,4), MID(D117,4,2), LEFT(D117,2)) + TIMEVALUE(MID(D117,12,5))
</f>
        <v>46066.20833</v>
      </c>
      <c r="I117" s="7">
        <f t="shared" si="118"/>
        <v>46067.66667</v>
      </c>
      <c r="J117" s="4">
        <f t="shared" si="3"/>
        <v>35</v>
      </c>
      <c r="K117" s="4" t="str">
        <f t="shared" si="4"/>
        <v>Breached</v>
      </c>
    </row>
    <row r="118">
      <c r="A118" s="1" t="s">
        <v>263</v>
      </c>
      <c r="B118" s="1" t="s">
        <v>16</v>
      </c>
      <c r="C118" s="1" t="s">
        <v>35</v>
      </c>
      <c r="D118" s="6" t="s">
        <v>264</v>
      </c>
      <c r="E118" s="6" t="s">
        <v>265</v>
      </c>
      <c r="F118" s="6">
        <v>48.0</v>
      </c>
      <c r="G118" s="1" t="s">
        <v>14</v>
      </c>
      <c r="H118" s="7">
        <f t="shared" ref="H118:I118" si="119">DATE(MID(D118,7,4), MID(D118,4,2), LEFT(D118,2)) + TIMEVALUE(MID(D118,12,5))
</f>
        <v>46094.66667</v>
      </c>
      <c r="I118" s="7">
        <f t="shared" si="119"/>
        <v>46097.58333</v>
      </c>
      <c r="J118" s="4">
        <f t="shared" si="3"/>
        <v>70</v>
      </c>
      <c r="K118" s="4" t="str">
        <f t="shared" si="4"/>
        <v>Breached</v>
      </c>
    </row>
    <row r="119">
      <c r="A119" s="1" t="s">
        <v>266</v>
      </c>
      <c r="B119" s="1" t="s">
        <v>16</v>
      </c>
      <c r="C119" s="1" t="s">
        <v>19</v>
      </c>
      <c r="D119" s="6" t="s">
        <v>232</v>
      </c>
      <c r="E119" s="6" t="s">
        <v>267</v>
      </c>
      <c r="F119" s="6">
        <v>24.0</v>
      </c>
      <c r="G119" s="1" t="s">
        <v>14</v>
      </c>
      <c r="H119" s="7">
        <f t="shared" ref="H119:I119" si="120">DATE(MID(D119,7,4), MID(D119,4,2), LEFT(D119,2)) + TIMEVALUE(MID(D119,12,5))
</f>
        <v>46035.29167</v>
      </c>
      <c r="I119" s="7">
        <f t="shared" si="120"/>
        <v>46036.20833</v>
      </c>
      <c r="J119" s="4">
        <f t="shared" si="3"/>
        <v>22</v>
      </c>
      <c r="K119" s="4" t="str">
        <f t="shared" si="4"/>
        <v>Within SLA</v>
      </c>
    </row>
    <row r="120">
      <c r="A120" s="1" t="s">
        <v>268</v>
      </c>
      <c r="B120" s="1" t="s">
        <v>34</v>
      </c>
      <c r="C120" s="1" t="s">
        <v>19</v>
      </c>
      <c r="D120" s="5">
        <v>46144.041666666664</v>
      </c>
      <c r="E120" s="5">
        <v>46236.666666666664</v>
      </c>
      <c r="F120" s="6">
        <v>24.0</v>
      </c>
      <c r="G120" s="1" t="s">
        <v>14</v>
      </c>
      <c r="H120" s="7">
        <f t="shared" ref="H120:I120" si="121">DATE(MID(D120,7,4), MID(D120,4,2), LEFT(D120,2)) + TIMEVALUE(MID(D120,12,5))
</f>
        <v>46058.04167</v>
      </c>
      <c r="I120" s="7">
        <f t="shared" si="121"/>
        <v>46061.66667</v>
      </c>
      <c r="J120" s="4">
        <f t="shared" si="3"/>
        <v>87</v>
      </c>
      <c r="K120" s="4" t="str">
        <f t="shared" si="4"/>
        <v>Breached</v>
      </c>
    </row>
    <row r="121">
      <c r="A121" s="1" t="s">
        <v>269</v>
      </c>
      <c r="B121" s="1" t="s">
        <v>16</v>
      </c>
      <c r="C121" s="1" t="s">
        <v>12</v>
      </c>
      <c r="D121" s="6" t="s">
        <v>270</v>
      </c>
      <c r="E121" s="6" t="s">
        <v>271</v>
      </c>
      <c r="F121" s="6">
        <v>72.0</v>
      </c>
      <c r="G121" s="1" t="s">
        <v>14</v>
      </c>
      <c r="H121" s="7">
        <f t="shared" ref="H121:I121" si="122">DATE(MID(D121,7,4), MID(D121,4,2), LEFT(D121,2)) + TIMEVALUE(MID(D121,12,5))
</f>
        <v>46047.41667</v>
      </c>
      <c r="I121" s="7">
        <f t="shared" si="122"/>
        <v>46050.41667</v>
      </c>
      <c r="J121" s="4">
        <f t="shared" si="3"/>
        <v>72</v>
      </c>
      <c r="K121" s="4" t="str">
        <f t="shared" si="4"/>
        <v>Within SLA</v>
      </c>
    </row>
    <row r="122">
      <c r="A122" s="1" t="s">
        <v>272</v>
      </c>
      <c r="B122" s="1" t="s">
        <v>11</v>
      </c>
      <c r="C122" s="1" t="s">
        <v>35</v>
      </c>
      <c r="D122" s="6" t="s">
        <v>273</v>
      </c>
      <c r="E122" s="6" t="s">
        <v>274</v>
      </c>
      <c r="F122" s="6">
        <v>48.0</v>
      </c>
      <c r="G122" s="1" t="s">
        <v>14</v>
      </c>
      <c r="H122" s="7">
        <f t="shared" ref="H122:I122" si="123">DATE(MID(D122,7,4), MID(D122,4,2), LEFT(D122,2)) + TIMEVALUE(MID(D122,12,5))
</f>
        <v>46042.125</v>
      </c>
      <c r="I122" s="7">
        <f t="shared" si="123"/>
        <v>46044.91667</v>
      </c>
      <c r="J122" s="4">
        <f t="shared" si="3"/>
        <v>67</v>
      </c>
      <c r="K122" s="4" t="str">
        <f t="shared" si="4"/>
        <v>Breached</v>
      </c>
    </row>
    <row r="123">
      <c r="A123" s="1" t="s">
        <v>275</v>
      </c>
      <c r="B123" s="1" t="s">
        <v>11</v>
      </c>
      <c r="C123" s="1" t="s">
        <v>19</v>
      </c>
      <c r="D123" s="6" t="s">
        <v>276</v>
      </c>
      <c r="E123" s="6" t="s">
        <v>277</v>
      </c>
      <c r="F123" s="6">
        <v>24.0</v>
      </c>
      <c r="G123" s="1" t="s">
        <v>14</v>
      </c>
      <c r="H123" s="7">
        <f t="shared" ref="H123:I123" si="124">DATE(MID(D123,7,4), MID(D123,4,2), LEFT(D123,2)) + TIMEVALUE(MID(D123,12,5))
</f>
        <v>46036.375</v>
      </c>
      <c r="I123" s="7">
        <f t="shared" si="124"/>
        <v>46040.16667</v>
      </c>
      <c r="J123" s="4">
        <f t="shared" si="3"/>
        <v>91</v>
      </c>
      <c r="K123" s="4" t="str">
        <f t="shared" si="4"/>
        <v>Breached</v>
      </c>
    </row>
    <row r="124">
      <c r="A124" s="1" t="s">
        <v>278</v>
      </c>
      <c r="B124" s="1" t="s">
        <v>11</v>
      </c>
      <c r="C124" s="1" t="s">
        <v>19</v>
      </c>
      <c r="D124" s="5">
        <v>46055.375</v>
      </c>
      <c r="E124" s="5">
        <v>46114.541666666664</v>
      </c>
      <c r="F124" s="6">
        <v>24.0</v>
      </c>
      <c r="G124" s="1" t="s">
        <v>14</v>
      </c>
      <c r="H124" s="7">
        <f t="shared" ref="H124:I124" si="125">DATE(MID(D124,7,4), MID(D124,4,2), LEFT(D124,2)) + TIMEVALUE(MID(D124,12,5))
</f>
        <v>46055.375</v>
      </c>
      <c r="I124" s="7">
        <f t="shared" si="125"/>
        <v>46057.54167</v>
      </c>
      <c r="J124" s="4">
        <f t="shared" si="3"/>
        <v>52</v>
      </c>
      <c r="K124" s="4" t="str">
        <f t="shared" si="4"/>
        <v>Breached</v>
      </c>
    </row>
    <row r="125">
      <c r="A125" s="1" t="s">
        <v>279</v>
      </c>
      <c r="B125" s="1" t="s">
        <v>11</v>
      </c>
      <c r="C125" s="1" t="s">
        <v>19</v>
      </c>
      <c r="D125" s="5">
        <v>46083.666666666664</v>
      </c>
      <c r="E125" s="5">
        <v>46175.791666666664</v>
      </c>
      <c r="F125" s="6">
        <v>24.0</v>
      </c>
      <c r="G125" s="1" t="s">
        <v>14</v>
      </c>
      <c r="H125" s="7">
        <f t="shared" ref="H125:I125" si="126">DATE(MID(D125,7,4), MID(D125,4,2), LEFT(D125,2)) + TIMEVALUE(MID(D125,12,5))
</f>
        <v>46056.66667</v>
      </c>
      <c r="I125" s="7">
        <f t="shared" si="126"/>
        <v>46059.79167</v>
      </c>
      <c r="J125" s="4">
        <f t="shared" si="3"/>
        <v>75</v>
      </c>
      <c r="K125" s="4" t="str">
        <f t="shared" si="4"/>
        <v>Breached</v>
      </c>
    </row>
    <row r="126">
      <c r="A126" s="1" t="s">
        <v>280</v>
      </c>
      <c r="B126" s="1" t="s">
        <v>18</v>
      </c>
      <c r="C126" s="1" t="s">
        <v>12</v>
      </c>
      <c r="D126" s="6" t="s">
        <v>220</v>
      </c>
      <c r="E126" s="6" t="s">
        <v>281</v>
      </c>
      <c r="F126" s="6">
        <v>72.0</v>
      </c>
      <c r="G126" s="1" t="s">
        <v>14</v>
      </c>
      <c r="H126" s="7">
        <f t="shared" ref="H126:I126" si="127">DATE(MID(D126,7,4), MID(D126,4,2), LEFT(D126,2)) + TIMEVALUE(MID(D126,12,5))
</f>
        <v>46101.91667</v>
      </c>
      <c r="I126" s="7">
        <f t="shared" si="127"/>
        <v>46103.125</v>
      </c>
      <c r="J126" s="4">
        <f t="shared" si="3"/>
        <v>29</v>
      </c>
      <c r="K126" s="4" t="str">
        <f t="shared" si="4"/>
        <v>Within SLA</v>
      </c>
    </row>
    <row r="127">
      <c r="A127" s="1" t="s">
        <v>282</v>
      </c>
      <c r="B127" s="1" t="s">
        <v>11</v>
      </c>
      <c r="C127" s="1" t="s">
        <v>35</v>
      </c>
      <c r="D127" s="6" t="s">
        <v>283</v>
      </c>
      <c r="E127" s="6" t="s">
        <v>284</v>
      </c>
      <c r="F127" s="6">
        <v>48.0</v>
      </c>
      <c r="G127" s="1" t="s">
        <v>14</v>
      </c>
      <c r="H127" s="7">
        <f t="shared" ref="H127:I127" si="128">DATE(MID(D127,7,4), MID(D127,4,2), LEFT(D127,2)) + TIMEVALUE(MID(D127,12,5))
</f>
        <v>46041.125</v>
      </c>
      <c r="I127" s="7">
        <f t="shared" si="128"/>
        <v>46044.33333</v>
      </c>
      <c r="J127" s="4">
        <f t="shared" si="3"/>
        <v>77</v>
      </c>
      <c r="K127" s="4" t="str">
        <f t="shared" si="4"/>
        <v>Breached</v>
      </c>
    </row>
    <row r="128">
      <c r="A128" s="1" t="s">
        <v>285</v>
      </c>
      <c r="B128" s="1" t="s">
        <v>34</v>
      </c>
      <c r="C128" s="1" t="s">
        <v>19</v>
      </c>
      <c r="D128" s="5">
        <v>46115.041666666664</v>
      </c>
      <c r="E128" s="5">
        <v>46145.083333333336</v>
      </c>
      <c r="F128" s="6">
        <v>24.0</v>
      </c>
      <c r="G128" s="1" t="s">
        <v>14</v>
      </c>
      <c r="H128" s="7">
        <f t="shared" ref="H128:I128" si="129">DATE(MID(D128,7,4), MID(D128,4,2), LEFT(D128,2)) + TIMEVALUE(MID(D128,12,5))
</f>
        <v>46085.04167</v>
      </c>
      <c r="I128" s="7">
        <f t="shared" si="129"/>
        <v>46086.08333</v>
      </c>
      <c r="J128" s="4">
        <f t="shared" si="3"/>
        <v>25</v>
      </c>
      <c r="K128" s="4" t="str">
        <f t="shared" si="4"/>
        <v>Breached</v>
      </c>
    </row>
    <row r="129">
      <c r="A129" s="1" t="s">
        <v>286</v>
      </c>
      <c r="B129" s="1" t="s">
        <v>11</v>
      </c>
      <c r="C129" s="1" t="s">
        <v>35</v>
      </c>
      <c r="D129" s="6" t="s">
        <v>287</v>
      </c>
      <c r="E129" s="6" t="s">
        <v>288</v>
      </c>
      <c r="F129" s="6">
        <v>48.0</v>
      </c>
      <c r="G129" s="1" t="s">
        <v>14</v>
      </c>
      <c r="H129" s="7">
        <f t="shared" ref="H129:I129" si="130">DATE(MID(D129,7,4), MID(D129,4,2), LEFT(D129,2)) + TIMEVALUE(MID(D129,12,5))
</f>
        <v>46052.04167</v>
      </c>
      <c r="I129" s="7">
        <f t="shared" si="130"/>
        <v>46053.33333</v>
      </c>
      <c r="J129" s="4">
        <f t="shared" si="3"/>
        <v>31</v>
      </c>
      <c r="K129" s="4" t="str">
        <f t="shared" si="4"/>
        <v>Within SLA</v>
      </c>
    </row>
    <row r="130">
      <c r="A130" s="1" t="s">
        <v>289</v>
      </c>
      <c r="B130" s="1" t="s">
        <v>23</v>
      </c>
      <c r="C130" s="1" t="s">
        <v>35</v>
      </c>
      <c r="D130" s="6" t="s">
        <v>290</v>
      </c>
      <c r="E130" s="6" t="s">
        <v>291</v>
      </c>
      <c r="F130" s="6">
        <v>48.0</v>
      </c>
      <c r="G130" s="1" t="s">
        <v>14</v>
      </c>
      <c r="H130" s="7">
        <f t="shared" ref="H130:I130" si="131">DATE(MID(D130,7,4), MID(D130,4,2), LEFT(D130,2)) + TIMEVALUE(MID(D130,12,5))
</f>
        <v>46105.04167</v>
      </c>
      <c r="I130" s="7">
        <f t="shared" si="131"/>
        <v>46106.75</v>
      </c>
      <c r="J130" s="4">
        <f t="shared" si="3"/>
        <v>41</v>
      </c>
      <c r="K130" s="4" t="str">
        <f t="shared" si="4"/>
        <v>Within SLA</v>
      </c>
    </row>
    <row r="131">
      <c r="A131" s="1" t="s">
        <v>292</v>
      </c>
      <c r="B131" s="1" t="s">
        <v>11</v>
      </c>
      <c r="C131" s="1" t="s">
        <v>12</v>
      </c>
      <c r="D131" s="6" t="s">
        <v>293</v>
      </c>
      <c r="E131" s="5">
        <v>46024.125</v>
      </c>
      <c r="F131" s="6">
        <v>72.0</v>
      </c>
      <c r="G131" s="1" t="s">
        <v>14</v>
      </c>
      <c r="H131" s="7">
        <f t="shared" ref="H131:I131" si="132">DATE(MID(D131,7,4), MID(D131,4,2), LEFT(D131,2)) + TIMEVALUE(MID(D131,12,5))
</f>
        <v>46051.16667</v>
      </c>
      <c r="I131" s="7">
        <f t="shared" si="132"/>
        <v>46054.125</v>
      </c>
      <c r="J131" s="4">
        <f t="shared" si="3"/>
        <v>71</v>
      </c>
      <c r="K131" s="4" t="str">
        <f t="shared" si="4"/>
        <v>Within SLA</v>
      </c>
    </row>
    <row r="132">
      <c r="A132" s="1" t="s">
        <v>294</v>
      </c>
      <c r="B132" s="1" t="s">
        <v>34</v>
      </c>
      <c r="C132" s="1" t="s">
        <v>12</v>
      </c>
      <c r="D132" s="5">
        <v>46235.25</v>
      </c>
      <c r="E132" s="5">
        <v>46296.291666666664</v>
      </c>
      <c r="F132" s="6">
        <v>72.0</v>
      </c>
      <c r="G132" s="1" t="s">
        <v>14</v>
      </c>
      <c r="H132" s="7">
        <f t="shared" ref="H132:I132" si="133">DATE(MID(D132,7,4), MID(D132,4,2), LEFT(D132,2)) + TIMEVALUE(MID(D132,12,5))
</f>
        <v>46030.25</v>
      </c>
      <c r="I132" s="7">
        <f t="shared" si="133"/>
        <v>46032.29167</v>
      </c>
      <c r="J132" s="4">
        <f t="shared" si="3"/>
        <v>49</v>
      </c>
      <c r="K132" s="4" t="str">
        <f t="shared" si="4"/>
        <v>Within SLA</v>
      </c>
    </row>
    <row r="133">
      <c r="A133" s="1" t="s">
        <v>295</v>
      </c>
      <c r="B133" s="1" t="s">
        <v>11</v>
      </c>
      <c r="C133" s="1" t="s">
        <v>35</v>
      </c>
      <c r="D133" s="6" t="s">
        <v>296</v>
      </c>
      <c r="E133" s="6" t="s">
        <v>297</v>
      </c>
      <c r="F133" s="6">
        <v>48.0</v>
      </c>
      <c r="G133" s="1" t="s">
        <v>14</v>
      </c>
      <c r="H133" s="7">
        <f t="shared" ref="H133:I133" si="134">DATE(MID(D133,7,4), MID(D133,4,2), LEFT(D133,2)) + TIMEVALUE(MID(D133,12,5))
</f>
        <v>46080.125</v>
      </c>
      <c r="I133" s="7">
        <f t="shared" si="134"/>
        <v>46081.79167</v>
      </c>
      <c r="J133" s="4">
        <f t="shared" si="3"/>
        <v>40</v>
      </c>
      <c r="K133" s="4" t="str">
        <f t="shared" si="4"/>
        <v>Within SLA</v>
      </c>
    </row>
    <row r="134">
      <c r="A134" s="1" t="s">
        <v>298</v>
      </c>
      <c r="B134" s="1" t="s">
        <v>16</v>
      </c>
      <c r="C134" s="1" t="s">
        <v>35</v>
      </c>
      <c r="D134" s="6" t="s">
        <v>299</v>
      </c>
      <c r="E134" s="6" t="s">
        <v>300</v>
      </c>
      <c r="F134" s="6">
        <v>48.0</v>
      </c>
      <c r="G134" s="1" t="s">
        <v>14</v>
      </c>
      <c r="H134" s="7">
        <f t="shared" ref="H134:I134" si="135">DATE(MID(D134,7,4), MID(D134,4,2), LEFT(D134,2)) + TIMEVALUE(MID(D134,12,5))
</f>
        <v>46073.375</v>
      </c>
      <c r="I134" s="7">
        <f t="shared" si="135"/>
        <v>46076.95833</v>
      </c>
      <c r="J134" s="4">
        <f t="shared" si="3"/>
        <v>86</v>
      </c>
      <c r="K134" s="4" t="str">
        <f t="shared" si="4"/>
        <v>Breached</v>
      </c>
    </row>
    <row r="135">
      <c r="A135" s="1" t="s">
        <v>301</v>
      </c>
      <c r="B135" s="1" t="s">
        <v>11</v>
      </c>
      <c r="C135" s="1" t="s">
        <v>12</v>
      </c>
      <c r="D135" s="6" t="s">
        <v>302</v>
      </c>
      <c r="E135" s="6" t="s">
        <v>303</v>
      </c>
      <c r="F135" s="6">
        <v>72.0</v>
      </c>
      <c r="G135" s="1" t="s">
        <v>14</v>
      </c>
      <c r="H135" s="7">
        <f t="shared" ref="H135:I135" si="136">DATE(MID(D135,7,4), MID(D135,4,2), LEFT(D135,2)) + TIMEVALUE(MID(D135,12,5))
</f>
        <v>46037.91667</v>
      </c>
      <c r="I135" s="7">
        <f t="shared" si="136"/>
        <v>46040.95833</v>
      </c>
      <c r="J135" s="4">
        <f t="shared" si="3"/>
        <v>73</v>
      </c>
      <c r="K135" s="4" t="str">
        <f t="shared" si="4"/>
        <v>Breached</v>
      </c>
    </row>
    <row r="136">
      <c r="A136" s="1" t="s">
        <v>304</v>
      </c>
      <c r="B136" s="1" t="s">
        <v>11</v>
      </c>
      <c r="C136" s="1" t="s">
        <v>19</v>
      </c>
      <c r="D136" s="6" t="s">
        <v>305</v>
      </c>
      <c r="E136" s="6" t="s">
        <v>306</v>
      </c>
      <c r="F136" s="6">
        <v>24.0</v>
      </c>
      <c r="G136" s="1" t="s">
        <v>14</v>
      </c>
      <c r="H136" s="7">
        <f t="shared" ref="H136:I136" si="137">DATE(MID(D136,7,4), MID(D136,4,2), LEFT(D136,2)) + TIMEVALUE(MID(D136,12,5))
</f>
        <v>46046.08333</v>
      </c>
      <c r="I136" s="7">
        <f t="shared" si="137"/>
        <v>46048.25</v>
      </c>
      <c r="J136" s="4">
        <f t="shared" si="3"/>
        <v>52</v>
      </c>
      <c r="K136" s="4" t="str">
        <f t="shared" si="4"/>
        <v>Breached</v>
      </c>
    </row>
    <row r="137">
      <c r="A137" s="1" t="s">
        <v>307</v>
      </c>
      <c r="B137" s="1" t="s">
        <v>11</v>
      </c>
      <c r="C137" s="1" t="s">
        <v>35</v>
      </c>
      <c r="D137" s="6" t="s">
        <v>308</v>
      </c>
      <c r="E137" s="6" t="s">
        <v>309</v>
      </c>
      <c r="F137" s="6">
        <v>48.0</v>
      </c>
      <c r="G137" s="1" t="s">
        <v>14</v>
      </c>
      <c r="H137" s="7">
        <f t="shared" ref="H137:I137" si="138">DATE(MID(D137,7,4), MID(D137,4,2), LEFT(D137,2)) + TIMEVALUE(MID(D137,12,5))
</f>
        <v>46068.25</v>
      </c>
      <c r="I137" s="7">
        <f t="shared" si="138"/>
        <v>46071.5</v>
      </c>
      <c r="J137" s="4">
        <f t="shared" si="3"/>
        <v>78</v>
      </c>
      <c r="K137" s="4" t="str">
        <f t="shared" si="4"/>
        <v>Breached</v>
      </c>
    </row>
    <row r="138">
      <c r="A138" s="1" t="s">
        <v>310</v>
      </c>
      <c r="B138" s="1" t="s">
        <v>23</v>
      </c>
      <c r="C138" s="1" t="s">
        <v>19</v>
      </c>
      <c r="D138" s="6" t="s">
        <v>311</v>
      </c>
      <c r="E138" s="6" t="s">
        <v>312</v>
      </c>
      <c r="F138" s="6">
        <v>24.0</v>
      </c>
      <c r="G138" s="1" t="s">
        <v>14</v>
      </c>
      <c r="H138" s="7">
        <f t="shared" ref="H138:I138" si="139">DATE(MID(D138,7,4), MID(D138,4,2), LEFT(D138,2)) + TIMEVALUE(MID(D138,12,5))
</f>
        <v>46071.875</v>
      </c>
      <c r="I138" s="7">
        <f t="shared" si="139"/>
        <v>46072.5</v>
      </c>
      <c r="J138" s="4">
        <f t="shared" si="3"/>
        <v>15</v>
      </c>
      <c r="K138" s="4" t="str">
        <f t="shared" si="4"/>
        <v>Within SLA</v>
      </c>
    </row>
    <row r="139">
      <c r="A139" s="1" t="s">
        <v>313</v>
      </c>
      <c r="B139" s="1" t="s">
        <v>11</v>
      </c>
      <c r="C139" s="1" t="s">
        <v>19</v>
      </c>
      <c r="D139" s="6" t="s">
        <v>314</v>
      </c>
      <c r="E139" s="6" t="s">
        <v>315</v>
      </c>
      <c r="F139" s="6">
        <v>24.0</v>
      </c>
      <c r="G139" s="1" t="s">
        <v>14</v>
      </c>
      <c r="H139" s="7">
        <f t="shared" ref="H139:I139" si="140">DATE(MID(D139,7,4), MID(D139,4,2), LEFT(D139,2)) + TIMEVALUE(MID(D139,12,5))
</f>
        <v>46038.83333</v>
      </c>
      <c r="I139" s="7">
        <f t="shared" si="140"/>
        <v>46040.79167</v>
      </c>
      <c r="J139" s="4">
        <f t="shared" si="3"/>
        <v>47</v>
      </c>
      <c r="K139" s="4" t="str">
        <f t="shared" si="4"/>
        <v>Breached</v>
      </c>
    </row>
    <row r="140">
      <c r="A140" s="1" t="s">
        <v>316</v>
      </c>
      <c r="B140" s="1" t="s">
        <v>11</v>
      </c>
      <c r="C140" s="1" t="s">
        <v>35</v>
      </c>
      <c r="D140" s="6" t="s">
        <v>317</v>
      </c>
      <c r="E140" s="6" t="s">
        <v>318</v>
      </c>
      <c r="F140" s="6">
        <v>48.0</v>
      </c>
      <c r="G140" s="1" t="s">
        <v>14</v>
      </c>
      <c r="H140" s="7">
        <f t="shared" ref="H140:I140" si="141">DATE(MID(D140,7,4), MID(D140,4,2), LEFT(D140,2)) + TIMEVALUE(MID(D140,12,5))
</f>
        <v>46075.91667</v>
      </c>
      <c r="I140" s="7">
        <f t="shared" si="141"/>
        <v>46079.875</v>
      </c>
      <c r="J140" s="4">
        <f t="shared" si="3"/>
        <v>95</v>
      </c>
      <c r="K140" s="4" t="str">
        <f t="shared" si="4"/>
        <v>Breached</v>
      </c>
    </row>
    <row r="141">
      <c r="A141" s="1" t="s">
        <v>319</v>
      </c>
      <c r="B141" s="1" t="s">
        <v>11</v>
      </c>
      <c r="C141" s="1" t="s">
        <v>12</v>
      </c>
      <c r="D141" s="5">
        <v>46266.916666666664</v>
      </c>
      <c r="E141" s="6" t="s">
        <v>320</v>
      </c>
      <c r="F141" s="6">
        <v>72.0</v>
      </c>
      <c r="G141" s="1" t="s">
        <v>14</v>
      </c>
      <c r="H141" s="7">
        <f t="shared" ref="H141:I141" si="142">DATE(MID(D141,7,4), MID(D141,4,2), LEFT(D141,2)) + TIMEVALUE(MID(D141,12,5))
</f>
        <v>46031.91667</v>
      </c>
      <c r="I141" s="7">
        <f t="shared" si="142"/>
        <v>46035.70833</v>
      </c>
      <c r="J141" s="4">
        <f t="shared" si="3"/>
        <v>91</v>
      </c>
      <c r="K141" s="4" t="str">
        <f t="shared" si="4"/>
        <v>Breached</v>
      </c>
    </row>
    <row r="142">
      <c r="A142" s="1" t="s">
        <v>321</v>
      </c>
      <c r="B142" s="1" t="s">
        <v>23</v>
      </c>
      <c r="C142" s="1" t="s">
        <v>35</v>
      </c>
      <c r="D142" s="6" t="s">
        <v>322</v>
      </c>
      <c r="E142" s="6" t="s">
        <v>323</v>
      </c>
      <c r="F142" s="6">
        <v>48.0</v>
      </c>
      <c r="G142" s="1" t="s">
        <v>14</v>
      </c>
      <c r="H142" s="7">
        <f t="shared" ref="H142:I142" si="143">DATE(MID(D142,7,4), MID(D142,4,2), LEFT(D142,2)) + TIMEVALUE(MID(D142,12,5))
</f>
        <v>46100.29167</v>
      </c>
      <c r="I142" s="7">
        <f t="shared" si="143"/>
        <v>46100.91667</v>
      </c>
      <c r="J142" s="4">
        <f t="shared" si="3"/>
        <v>15</v>
      </c>
      <c r="K142" s="4" t="str">
        <f t="shared" si="4"/>
        <v>Within SLA</v>
      </c>
    </row>
    <row r="143">
      <c r="A143" s="1" t="s">
        <v>324</v>
      </c>
      <c r="B143" s="1" t="s">
        <v>16</v>
      </c>
      <c r="C143" s="1" t="s">
        <v>12</v>
      </c>
      <c r="D143" s="6" t="s">
        <v>325</v>
      </c>
      <c r="E143" s="6" t="s">
        <v>326</v>
      </c>
      <c r="F143" s="6">
        <v>72.0</v>
      </c>
      <c r="G143" s="1" t="s">
        <v>14</v>
      </c>
      <c r="H143" s="7">
        <f t="shared" ref="H143:I143" si="144">DATE(MID(D143,7,4), MID(D143,4,2), LEFT(D143,2)) + TIMEVALUE(MID(D143,12,5))
</f>
        <v>46035.54167</v>
      </c>
      <c r="I143" s="7">
        <f t="shared" si="144"/>
        <v>46037.95833</v>
      </c>
      <c r="J143" s="4">
        <f t="shared" si="3"/>
        <v>58</v>
      </c>
      <c r="K143" s="4" t="str">
        <f t="shared" si="4"/>
        <v>Within SLA</v>
      </c>
    </row>
    <row r="144">
      <c r="A144" s="1" t="s">
        <v>327</v>
      </c>
      <c r="B144" s="1" t="s">
        <v>34</v>
      </c>
      <c r="C144" s="1" t="s">
        <v>35</v>
      </c>
      <c r="D144" s="5">
        <v>46329.791666666664</v>
      </c>
      <c r="E144" s="6" t="s">
        <v>328</v>
      </c>
      <c r="F144" s="6">
        <v>48.0</v>
      </c>
      <c r="G144" s="1" t="s">
        <v>14</v>
      </c>
      <c r="H144" s="7">
        <f t="shared" ref="H144:I144" si="145">DATE(MID(D144,7,4), MID(D144,4,2), LEFT(D144,2)) + TIMEVALUE(MID(D144,12,5))
</f>
        <v>46092.79167</v>
      </c>
      <c r="I144" s="7">
        <f t="shared" si="145"/>
        <v>46095.45833</v>
      </c>
      <c r="J144" s="4">
        <f t="shared" si="3"/>
        <v>64</v>
      </c>
      <c r="K144" s="4" t="str">
        <f t="shared" si="4"/>
        <v>Breached</v>
      </c>
    </row>
    <row r="145">
      <c r="A145" s="1" t="s">
        <v>329</v>
      </c>
      <c r="B145" s="1" t="s">
        <v>16</v>
      </c>
      <c r="C145" s="1" t="s">
        <v>35</v>
      </c>
      <c r="D145" s="5">
        <v>46113.416666666664</v>
      </c>
      <c r="E145" s="5">
        <v>46204.75</v>
      </c>
      <c r="F145" s="6">
        <v>48.0</v>
      </c>
      <c r="G145" s="1" t="s">
        <v>14</v>
      </c>
      <c r="H145" s="7">
        <f t="shared" ref="H145:I145" si="146">DATE(MID(D145,7,4), MID(D145,4,2), LEFT(D145,2)) + TIMEVALUE(MID(D145,12,5))
</f>
        <v>46026.41667</v>
      </c>
      <c r="I145" s="7">
        <f t="shared" si="146"/>
        <v>46029.75</v>
      </c>
      <c r="J145" s="4">
        <f t="shared" si="3"/>
        <v>80</v>
      </c>
      <c r="K145" s="4" t="str">
        <f t="shared" si="4"/>
        <v>Breached</v>
      </c>
    </row>
    <row r="146">
      <c r="A146" s="1" t="s">
        <v>330</v>
      </c>
      <c r="B146" s="1" t="s">
        <v>18</v>
      </c>
      <c r="C146" s="1" t="s">
        <v>19</v>
      </c>
      <c r="D146" s="6" t="s">
        <v>331</v>
      </c>
      <c r="E146" s="5">
        <v>46024.583333333336</v>
      </c>
      <c r="F146" s="6">
        <v>24.0</v>
      </c>
      <c r="G146" s="1" t="s">
        <v>14</v>
      </c>
      <c r="H146" s="7">
        <f t="shared" ref="H146:I146" si="147">DATE(MID(D146,7,4), MID(D146,4,2), LEFT(D146,2)) + TIMEVALUE(MID(D146,12,5))
</f>
        <v>46052.66667</v>
      </c>
      <c r="I146" s="7">
        <f t="shared" si="147"/>
        <v>46054.58333</v>
      </c>
      <c r="J146" s="4">
        <f t="shared" si="3"/>
        <v>46</v>
      </c>
      <c r="K146" s="4" t="str">
        <f t="shared" si="4"/>
        <v>Breached</v>
      </c>
    </row>
    <row r="147">
      <c r="A147" s="1" t="s">
        <v>332</v>
      </c>
      <c r="B147" s="1" t="s">
        <v>11</v>
      </c>
      <c r="C147" s="1" t="s">
        <v>12</v>
      </c>
      <c r="D147" s="5">
        <v>46024.791666666664</v>
      </c>
      <c r="E147" s="5">
        <v>46114.333333333336</v>
      </c>
      <c r="F147" s="6">
        <v>72.0</v>
      </c>
      <c r="G147" s="1" t="s">
        <v>14</v>
      </c>
      <c r="H147" s="7">
        <f t="shared" ref="H147:I147" si="148">DATE(MID(D147,7,4), MID(D147,4,2), LEFT(D147,2)) + TIMEVALUE(MID(D147,12,5))
</f>
        <v>46054.79167</v>
      </c>
      <c r="I147" s="7">
        <f t="shared" si="148"/>
        <v>46057.33333</v>
      </c>
      <c r="J147" s="4">
        <f t="shared" si="3"/>
        <v>61</v>
      </c>
      <c r="K147" s="4" t="str">
        <f t="shared" si="4"/>
        <v>Within SLA</v>
      </c>
    </row>
    <row r="148">
      <c r="A148" s="1" t="s">
        <v>333</v>
      </c>
      <c r="B148" s="1" t="s">
        <v>18</v>
      </c>
      <c r="C148" s="1" t="s">
        <v>19</v>
      </c>
      <c r="D148" s="5">
        <v>46084.125</v>
      </c>
      <c r="E148" s="5">
        <v>46145.458333333336</v>
      </c>
      <c r="F148" s="6">
        <v>24.0</v>
      </c>
      <c r="G148" s="1" t="s">
        <v>14</v>
      </c>
      <c r="H148" s="7">
        <f t="shared" ref="H148:I148" si="149">DATE(MID(D148,7,4), MID(D148,4,2), LEFT(D148,2)) + TIMEVALUE(MID(D148,12,5))
</f>
        <v>46084.125</v>
      </c>
      <c r="I148" s="7">
        <f t="shared" si="149"/>
        <v>46086.45833</v>
      </c>
      <c r="J148" s="4">
        <f t="shared" si="3"/>
        <v>56</v>
      </c>
      <c r="K148" s="4" t="str">
        <f t="shared" si="4"/>
        <v>Breached</v>
      </c>
    </row>
    <row r="149">
      <c r="A149" s="1" t="s">
        <v>334</v>
      </c>
      <c r="B149" s="1" t="s">
        <v>11</v>
      </c>
      <c r="C149" s="1" t="s">
        <v>12</v>
      </c>
      <c r="D149" s="5">
        <v>46084.125</v>
      </c>
      <c r="E149" s="5">
        <v>46145.0</v>
      </c>
      <c r="F149" s="6">
        <v>72.0</v>
      </c>
      <c r="G149" s="1" t="s">
        <v>14</v>
      </c>
      <c r="H149" s="7">
        <f t="shared" ref="H149:I149" si="150">DATE(MID(D149,7,4), MID(D149,4,2), LEFT(D149,2)) + TIMEVALUE(MID(D149,12,5))
</f>
        <v>46084.125</v>
      </c>
      <c r="I149" s="7">
        <f t="shared" si="150"/>
        <v>46086</v>
      </c>
      <c r="J149" s="4">
        <f t="shared" si="3"/>
        <v>45</v>
      </c>
      <c r="K149" s="4" t="str">
        <f t="shared" si="4"/>
        <v>Within SLA</v>
      </c>
    </row>
    <row r="150">
      <c r="A150" s="1" t="s">
        <v>335</v>
      </c>
      <c r="B150" s="1" t="s">
        <v>11</v>
      </c>
      <c r="C150" s="1" t="s">
        <v>19</v>
      </c>
      <c r="D150" s="6" t="s">
        <v>336</v>
      </c>
      <c r="E150" s="6" t="s">
        <v>337</v>
      </c>
      <c r="F150" s="6">
        <v>24.0</v>
      </c>
      <c r="G150" s="1" t="s">
        <v>14</v>
      </c>
      <c r="H150" s="7">
        <f t="shared" ref="H150:I150" si="151">DATE(MID(D150,7,4), MID(D150,4,2), LEFT(D150,2)) + TIMEVALUE(MID(D150,12,5))
</f>
        <v>46050.83333</v>
      </c>
      <c r="I150" s="7">
        <f t="shared" si="151"/>
        <v>46052.83333</v>
      </c>
      <c r="J150" s="4">
        <f t="shared" si="3"/>
        <v>48</v>
      </c>
      <c r="K150" s="4" t="str">
        <f t="shared" si="4"/>
        <v>Breached</v>
      </c>
    </row>
    <row r="151">
      <c r="A151" s="1" t="s">
        <v>338</v>
      </c>
      <c r="B151" s="1" t="s">
        <v>16</v>
      </c>
      <c r="C151" s="1" t="s">
        <v>19</v>
      </c>
      <c r="D151" s="6" t="s">
        <v>339</v>
      </c>
      <c r="E151" s="6" t="s">
        <v>296</v>
      </c>
      <c r="F151" s="6">
        <v>24.0</v>
      </c>
      <c r="G151" s="1" t="s">
        <v>14</v>
      </c>
      <c r="H151" s="7">
        <f t="shared" ref="H151:I151" si="152">DATE(MID(D151,7,4), MID(D151,4,2), LEFT(D151,2)) + TIMEVALUE(MID(D151,12,5))
</f>
        <v>46077.625</v>
      </c>
      <c r="I151" s="7">
        <f t="shared" si="152"/>
        <v>46080.125</v>
      </c>
      <c r="J151" s="4">
        <f t="shared" si="3"/>
        <v>60</v>
      </c>
      <c r="K151" s="4" t="str">
        <f t="shared" si="4"/>
        <v>Breached</v>
      </c>
    </row>
    <row r="152">
      <c r="A152" s="1" t="s">
        <v>340</v>
      </c>
      <c r="B152" s="1" t="s">
        <v>16</v>
      </c>
      <c r="C152" s="1" t="s">
        <v>12</v>
      </c>
      <c r="D152" s="6" t="s">
        <v>341</v>
      </c>
      <c r="E152" s="6" t="s">
        <v>342</v>
      </c>
      <c r="F152" s="6">
        <v>72.0</v>
      </c>
      <c r="G152" s="1" t="s">
        <v>14</v>
      </c>
      <c r="H152" s="7">
        <f t="shared" ref="H152:I152" si="153">DATE(MID(D152,7,4), MID(D152,4,2), LEFT(D152,2)) + TIMEVALUE(MID(D152,12,5))
</f>
        <v>46036.79167</v>
      </c>
      <c r="I152" s="7">
        <f t="shared" si="153"/>
        <v>46038.25</v>
      </c>
      <c r="J152" s="4">
        <f t="shared" si="3"/>
        <v>35</v>
      </c>
      <c r="K152" s="4" t="str">
        <f t="shared" si="4"/>
        <v>Within SLA</v>
      </c>
    </row>
    <row r="153">
      <c r="A153" s="1" t="s">
        <v>343</v>
      </c>
      <c r="B153" s="1" t="s">
        <v>11</v>
      </c>
      <c r="C153" s="1" t="s">
        <v>12</v>
      </c>
      <c r="D153" s="6" t="s">
        <v>344</v>
      </c>
      <c r="E153" s="6" t="s">
        <v>234</v>
      </c>
      <c r="F153" s="6">
        <v>72.0</v>
      </c>
      <c r="G153" s="1" t="s">
        <v>14</v>
      </c>
      <c r="H153" s="7">
        <f t="shared" ref="H153:I153" si="154">DATE(MID(D153,7,4), MID(D153,4,2), LEFT(D153,2)) + TIMEVALUE(MID(D153,12,5))
</f>
        <v>46046.29167</v>
      </c>
      <c r="I153" s="7">
        <f t="shared" si="154"/>
        <v>46048.5</v>
      </c>
      <c r="J153" s="4">
        <f t="shared" si="3"/>
        <v>53</v>
      </c>
      <c r="K153" s="4" t="str">
        <f t="shared" si="4"/>
        <v>Within SLA</v>
      </c>
    </row>
    <row r="154">
      <c r="A154" s="1" t="s">
        <v>345</v>
      </c>
      <c r="B154" s="1" t="s">
        <v>23</v>
      </c>
      <c r="C154" s="1" t="s">
        <v>35</v>
      </c>
      <c r="D154" s="5">
        <v>46268.125</v>
      </c>
      <c r="E154" s="5">
        <v>46298.583333333336</v>
      </c>
      <c r="F154" s="6">
        <v>48.0</v>
      </c>
      <c r="G154" s="1" t="s">
        <v>14</v>
      </c>
      <c r="H154" s="7">
        <f t="shared" ref="H154:I154" si="155">DATE(MID(D154,7,4), MID(D154,4,2), LEFT(D154,2)) + TIMEVALUE(MID(D154,12,5))
</f>
        <v>46090.125</v>
      </c>
      <c r="I154" s="7">
        <f t="shared" si="155"/>
        <v>46091.58333</v>
      </c>
      <c r="J154" s="4">
        <f t="shared" si="3"/>
        <v>35</v>
      </c>
      <c r="K154" s="4" t="str">
        <f t="shared" si="4"/>
        <v>Within SLA</v>
      </c>
    </row>
    <row r="155">
      <c r="A155" s="1" t="s">
        <v>346</v>
      </c>
      <c r="B155" s="1" t="s">
        <v>18</v>
      </c>
      <c r="C155" s="1" t="s">
        <v>12</v>
      </c>
      <c r="D155" s="5">
        <v>46206.166666666664</v>
      </c>
      <c r="E155" s="5">
        <v>46298.041666666664</v>
      </c>
      <c r="F155" s="6">
        <v>72.0</v>
      </c>
      <c r="G155" s="1" t="s">
        <v>14</v>
      </c>
      <c r="H155" s="7">
        <f t="shared" ref="H155:I155" si="156">DATE(MID(D155,7,4), MID(D155,4,2), LEFT(D155,2)) + TIMEVALUE(MID(D155,12,5))
</f>
        <v>46088.16667</v>
      </c>
      <c r="I155" s="7">
        <f t="shared" si="156"/>
        <v>46091.04167</v>
      </c>
      <c r="J155" s="4">
        <f t="shared" si="3"/>
        <v>69</v>
      </c>
      <c r="K155" s="4" t="str">
        <f t="shared" si="4"/>
        <v>Within SLA</v>
      </c>
    </row>
    <row r="156">
      <c r="A156" s="1" t="s">
        <v>347</v>
      </c>
      <c r="B156" s="1" t="s">
        <v>18</v>
      </c>
      <c r="C156" s="1" t="s">
        <v>35</v>
      </c>
      <c r="D156" s="6" t="s">
        <v>348</v>
      </c>
      <c r="E156" s="6" t="s">
        <v>349</v>
      </c>
      <c r="F156" s="6">
        <v>48.0</v>
      </c>
      <c r="G156" s="1" t="s">
        <v>14</v>
      </c>
      <c r="H156" s="7">
        <f t="shared" ref="H156:I156" si="157">DATE(MID(D156,7,4), MID(D156,4,2), LEFT(D156,2)) + TIMEVALUE(MID(D156,12,5))
</f>
        <v>46103.16667</v>
      </c>
      <c r="I156" s="7">
        <f t="shared" si="157"/>
        <v>46103.83333</v>
      </c>
      <c r="J156" s="4">
        <f t="shared" si="3"/>
        <v>16</v>
      </c>
      <c r="K156" s="4" t="str">
        <f t="shared" si="4"/>
        <v>Within SLA</v>
      </c>
    </row>
    <row r="157">
      <c r="A157" s="1" t="s">
        <v>350</v>
      </c>
      <c r="B157" s="1" t="s">
        <v>11</v>
      </c>
      <c r="C157" s="1" t="s">
        <v>19</v>
      </c>
      <c r="D157" s="6" t="s">
        <v>351</v>
      </c>
      <c r="E157" s="6" t="s">
        <v>352</v>
      </c>
      <c r="F157" s="6">
        <v>24.0</v>
      </c>
      <c r="G157" s="1" t="s">
        <v>14</v>
      </c>
      <c r="H157" s="7">
        <f t="shared" ref="H157:I157" si="158">DATE(MID(D157,7,4), MID(D157,4,2), LEFT(D157,2)) + TIMEVALUE(MID(D157,12,5))
</f>
        <v>46044.95833</v>
      </c>
      <c r="I157" s="7">
        <f t="shared" si="158"/>
        <v>46045.45833</v>
      </c>
      <c r="J157" s="4">
        <f t="shared" si="3"/>
        <v>12</v>
      </c>
      <c r="K157" s="4" t="str">
        <f t="shared" si="4"/>
        <v>Within SLA</v>
      </c>
    </row>
    <row r="158">
      <c r="A158" s="1" t="s">
        <v>353</v>
      </c>
      <c r="B158" s="1" t="s">
        <v>23</v>
      </c>
      <c r="C158" s="1" t="s">
        <v>12</v>
      </c>
      <c r="D158" s="5">
        <v>46023.25</v>
      </c>
      <c r="E158" s="5">
        <v>46054.625</v>
      </c>
      <c r="F158" s="6">
        <v>72.0</v>
      </c>
      <c r="G158" s="1" t="s">
        <v>14</v>
      </c>
      <c r="H158" s="7">
        <f t="shared" ref="H158:I158" si="159">DATE(MID(D158,7,4), MID(D158,4,2), LEFT(D158,2)) + TIMEVALUE(MID(D158,12,5))
</f>
        <v>46023.25</v>
      </c>
      <c r="I158" s="7">
        <f t="shared" si="159"/>
        <v>46024.625</v>
      </c>
      <c r="J158" s="4">
        <f t="shared" si="3"/>
        <v>33</v>
      </c>
      <c r="K158" s="4" t="str">
        <f t="shared" si="4"/>
        <v>Within SLA</v>
      </c>
    </row>
    <row r="159">
      <c r="A159" s="1" t="s">
        <v>354</v>
      </c>
      <c r="B159" s="1" t="s">
        <v>34</v>
      </c>
      <c r="C159" s="1" t="s">
        <v>12</v>
      </c>
      <c r="D159" s="6" t="s">
        <v>355</v>
      </c>
      <c r="E159" s="6" t="s">
        <v>356</v>
      </c>
      <c r="F159" s="6">
        <v>72.0</v>
      </c>
      <c r="G159" s="1" t="s">
        <v>14</v>
      </c>
      <c r="H159" s="7">
        <f t="shared" ref="H159:I159" si="160">DATE(MID(D159,7,4), MID(D159,4,2), LEFT(D159,2)) + TIMEVALUE(MID(D159,12,5))
</f>
        <v>46043.95833</v>
      </c>
      <c r="I159" s="7">
        <f t="shared" si="160"/>
        <v>46046.83333</v>
      </c>
      <c r="J159" s="4">
        <f t="shared" si="3"/>
        <v>69</v>
      </c>
      <c r="K159" s="4" t="str">
        <f t="shared" si="4"/>
        <v>Within SLA</v>
      </c>
    </row>
    <row r="160">
      <c r="A160" s="1" t="s">
        <v>357</v>
      </c>
      <c r="B160" s="1" t="s">
        <v>23</v>
      </c>
      <c r="C160" s="1" t="s">
        <v>35</v>
      </c>
      <c r="D160" s="6" t="s">
        <v>358</v>
      </c>
      <c r="E160" s="6" t="s">
        <v>359</v>
      </c>
      <c r="F160" s="6">
        <v>48.0</v>
      </c>
      <c r="G160" s="1" t="s">
        <v>14</v>
      </c>
      <c r="H160" s="7">
        <f t="shared" ref="H160:I160" si="161">DATE(MID(D160,7,4), MID(D160,4,2), LEFT(D160,2)) + TIMEVALUE(MID(D160,12,5))
</f>
        <v>46099.125</v>
      </c>
      <c r="I160" s="7">
        <f t="shared" si="161"/>
        <v>46099.83333</v>
      </c>
      <c r="J160" s="4">
        <f t="shared" si="3"/>
        <v>17</v>
      </c>
      <c r="K160" s="4" t="str">
        <f t="shared" si="4"/>
        <v>Within SLA</v>
      </c>
    </row>
    <row r="161">
      <c r="A161" s="1" t="s">
        <v>360</v>
      </c>
      <c r="B161" s="1" t="s">
        <v>11</v>
      </c>
      <c r="C161" s="1" t="s">
        <v>12</v>
      </c>
      <c r="D161" s="6" t="s">
        <v>361</v>
      </c>
      <c r="E161" s="5">
        <v>46115.125</v>
      </c>
      <c r="F161" s="6">
        <v>72.0</v>
      </c>
      <c r="G161" s="1" t="s">
        <v>14</v>
      </c>
      <c r="H161" s="7">
        <f t="shared" ref="H161:I161" si="162">DATE(MID(D161,7,4), MID(D161,4,2), LEFT(D161,2)) + TIMEVALUE(MID(D161,12,5))
</f>
        <v>46081.25</v>
      </c>
      <c r="I161" s="7">
        <f t="shared" si="162"/>
        <v>46085.125</v>
      </c>
      <c r="J161" s="4">
        <f t="shared" si="3"/>
        <v>93</v>
      </c>
      <c r="K161" s="4" t="str">
        <f t="shared" si="4"/>
        <v>Breached</v>
      </c>
    </row>
    <row r="162">
      <c r="A162" s="1" t="s">
        <v>362</v>
      </c>
      <c r="B162" s="1" t="s">
        <v>18</v>
      </c>
      <c r="C162" s="1" t="s">
        <v>12</v>
      </c>
      <c r="D162" s="5">
        <v>46267.041666666664</v>
      </c>
      <c r="E162" s="5">
        <v>46297.666666666664</v>
      </c>
      <c r="F162" s="6">
        <v>72.0</v>
      </c>
      <c r="G162" s="1" t="s">
        <v>14</v>
      </c>
      <c r="H162" s="7">
        <f t="shared" ref="H162:I162" si="163">DATE(MID(D162,7,4), MID(D162,4,2), LEFT(D162,2)) + TIMEVALUE(MID(D162,12,5))
</f>
        <v>46062.04167</v>
      </c>
      <c r="I162" s="7">
        <f t="shared" si="163"/>
        <v>46063.66667</v>
      </c>
      <c r="J162" s="4">
        <f t="shared" si="3"/>
        <v>39</v>
      </c>
      <c r="K162" s="4" t="str">
        <f t="shared" si="4"/>
        <v>Within SLA</v>
      </c>
    </row>
    <row r="163">
      <c r="A163" s="1" t="s">
        <v>363</v>
      </c>
      <c r="B163" s="1" t="s">
        <v>16</v>
      </c>
      <c r="C163" s="1" t="s">
        <v>12</v>
      </c>
      <c r="D163" s="6" t="s">
        <v>364</v>
      </c>
      <c r="E163" s="6" t="s">
        <v>365</v>
      </c>
      <c r="F163" s="6">
        <v>72.0</v>
      </c>
      <c r="G163" s="1" t="s">
        <v>14</v>
      </c>
      <c r="H163" s="7">
        <f t="shared" ref="H163:I163" si="164">DATE(MID(D163,7,4), MID(D163,4,2), LEFT(D163,2)) + TIMEVALUE(MID(D163,12,5))
</f>
        <v>46048</v>
      </c>
      <c r="I163" s="7">
        <f t="shared" si="164"/>
        <v>46051.25</v>
      </c>
      <c r="J163" s="4">
        <f t="shared" si="3"/>
        <v>78</v>
      </c>
      <c r="K163" s="4" t="str">
        <f t="shared" si="4"/>
        <v>Breached</v>
      </c>
    </row>
    <row r="164">
      <c r="A164" s="1" t="s">
        <v>366</v>
      </c>
      <c r="B164" s="1" t="s">
        <v>23</v>
      </c>
      <c r="C164" s="1" t="s">
        <v>12</v>
      </c>
      <c r="D164" s="6" t="s">
        <v>367</v>
      </c>
      <c r="E164" s="6" t="s">
        <v>368</v>
      </c>
      <c r="F164" s="6">
        <v>72.0</v>
      </c>
      <c r="G164" s="1" t="s">
        <v>14</v>
      </c>
      <c r="H164" s="7">
        <f t="shared" ref="H164:I164" si="165">DATE(MID(D164,7,4), MID(D164,4,2), LEFT(D164,2)) + TIMEVALUE(MID(D164,12,5))
</f>
        <v>46066.33333</v>
      </c>
      <c r="I164" s="7">
        <f t="shared" si="165"/>
        <v>46070.04167</v>
      </c>
      <c r="J164" s="4">
        <f t="shared" si="3"/>
        <v>89</v>
      </c>
      <c r="K164" s="4" t="str">
        <f t="shared" si="4"/>
        <v>Breached</v>
      </c>
    </row>
    <row r="165">
      <c r="A165" s="1" t="s">
        <v>369</v>
      </c>
      <c r="B165" s="1" t="s">
        <v>34</v>
      </c>
      <c r="C165" s="1" t="s">
        <v>12</v>
      </c>
      <c r="D165" s="6" t="s">
        <v>370</v>
      </c>
      <c r="E165" s="6" t="s">
        <v>371</v>
      </c>
      <c r="F165" s="6">
        <v>72.0</v>
      </c>
      <c r="G165" s="1" t="s">
        <v>14</v>
      </c>
      <c r="H165" s="7">
        <f t="shared" ref="H165:I165" si="166">DATE(MID(D165,7,4), MID(D165,4,2), LEFT(D165,2)) + TIMEVALUE(MID(D165,12,5))
</f>
        <v>46099.58333</v>
      </c>
      <c r="I165" s="7">
        <f t="shared" si="166"/>
        <v>46102.625</v>
      </c>
      <c r="J165" s="4">
        <f t="shared" si="3"/>
        <v>73</v>
      </c>
      <c r="K165" s="4" t="str">
        <f t="shared" si="4"/>
        <v>Breached</v>
      </c>
    </row>
    <row r="166">
      <c r="A166" s="1" t="s">
        <v>372</v>
      </c>
      <c r="B166" s="1" t="s">
        <v>34</v>
      </c>
      <c r="C166" s="1" t="s">
        <v>19</v>
      </c>
      <c r="D166" s="5">
        <v>46082.416666666664</v>
      </c>
      <c r="E166" s="5">
        <v>46113.958333333336</v>
      </c>
      <c r="F166" s="6">
        <v>24.0</v>
      </c>
      <c r="G166" s="1" t="s">
        <v>14</v>
      </c>
      <c r="H166" s="7">
        <f t="shared" ref="H166:I166" si="167">DATE(MID(D166,7,4), MID(D166,4,2), LEFT(D166,2)) + TIMEVALUE(MID(D166,12,5))
</f>
        <v>46025.41667</v>
      </c>
      <c r="I166" s="7">
        <f t="shared" si="167"/>
        <v>46026.95833</v>
      </c>
      <c r="J166" s="4">
        <f t="shared" si="3"/>
        <v>37</v>
      </c>
      <c r="K166" s="4" t="str">
        <f t="shared" si="4"/>
        <v>Breached</v>
      </c>
    </row>
    <row r="167">
      <c r="A167" s="1" t="s">
        <v>373</v>
      </c>
      <c r="B167" s="1" t="s">
        <v>16</v>
      </c>
      <c r="C167" s="1" t="s">
        <v>35</v>
      </c>
      <c r="D167" s="6" t="s">
        <v>195</v>
      </c>
      <c r="E167" s="6" t="s">
        <v>374</v>
      </c>
      <c r="F167" s="6">
        <v>48.0</v>
      </c>
      <c r="G167" s="1" t="s">
        <v>14</v>
      </c>
      <c r="H167" s="7">
        <f t="shared" ref="H167:I167" si="168">DATE(MID(D167,7,4), MID(D167,4,2), LEFT(D167,2)) + TIMEVALUE(MID(D167,12,5))
</f>
        <v>46100.54167</v>
      </c>
      <c r="I167" s="7">
        <f t="shared" si="168"/>
        <v>46102</v>
      </c>
      <c r="J167" s="4">
        <f t="shared" si="3"/>
        <v>35</v>
      </c>
      <c r="K167" s="4" t="str">
        <f t="shared" si="4"/>
        <v>Within SLA</v>
      </c>
    </row>
    <row r="168">
      <c r="A168" s="1" t="s">
        <v>375</v>
      </c>
      <c r="B168" s="1" t="s">
        <v>16</v>
      </c>
      <c r="C168" s="1" t="s">
        <v>12</v>
      </c>
      <c r="D168" s="6" t="s">
        <v>376</v>
      </c>
      <c r="E168" s="6" t="s">
        <v>377</v>
      </c>
      <c r="F168" s="6">
        <v>72.0</v>
      </c>
      <c r="G168" s="1" t="s">
        <v>14</v>
      </c>
      <c r="H168" s="7">
        <f t="shared" ref="H168:I168" si="169">DATE(MID(D168,7,4), MID(D168,4,2), LEFT(D168,2)) + TIMEVALUE(MID(D168,12,5))
</f>
        <v>46101.875</v>
      </c>
      <c r="I168" s="7">
        <f t="shared" si="169"/>
        <v>46105.29167</v>
      </c>
      <c r="J168" s="4">
        <f t="shared" si="3"/>
        <v>82</v>
      </c>
      <c r="K168" s="4" t="str">
        <f t="shared" si="4"/>
        <v>Breached</v>
      </c>
    </row>
    <row r="169">
      <c r="A169" s="1" t="s">
        <v>378</v>
      </c>
      <c r="B169" s="1" t="s">
        <v>16</v>
      </c>
      <c r="C169" s="1" t="s">
        <v>12</v>
      </c>
      <c r="D169" s="5">
        <v>46268.208333333336</v>
      </c>
      <c r="E169" s="5">
        <v>46359.083333333336</v>
      </c>
      <c r="F169" s="6">
        <v>72.0</v>
      </c>
      <c r="G169" s="1" t="s">
        <v>14</v>
      </c>
      <c r="H169" s="7">
        <f t="shared" ref="H169:I169" si="170">DATE(MID(D169,7,4), MID(D169,4,2), LEFT(D169,2)) + TIMEVALUE(MID(D169,12,5))
</f>
        <v>46090.20833</v>
      </c>
      <c r="I169" s="7">
        <f t="shared" si="170"/>
        <v>46093.08333</v>
      </c>
      <c r="J169" s="4">
        <f t="shared" si="3"/>
        <v>69</v>
      </c>
      <c r="K169" s="4" t="str">
        <f t="shared" si="4"/>
        <v>Within SLA</v>
      </c>
    </row>
    <row r="170">
      <c r="A170" s="1" t="s">
        <v>379</v>
      </c>
      <c r="B170" s="1" t="s">
        <v>34</v>
      </c>
      <c r="C170" s="1" t="s">
        <v>19</v>
      </c>
      <c r="D170" s="6" t="s">
        <v>380</v>
      </c>
      <c r="E170" s="6" t="s">
        <v>381</v>
      </c>
      <c r="F170" s="6">
        <v>24.0</v>
      </c>
      <c r="G170" s="1" t="s">
        <v>14</v>
      </c>
      <c r="H170" s="7">
        <f t="shared" ref="H170:I170" si="171">DATE(MID(D170,7,4), MID(D170,4,2), LEFT(D170,2)) + TIMEVALUE(MID(D170,12,5))
</f>
        <v>46098.41667</v>
      </c>
      <c r="I170" s="7">
        <f t="shared" si="171"/>
        <v>46102.41667</v>
      </c>
      <c r="J170" s="4">
        <f t="shared" si="3"/>
        <v>96</v>
      </c>
      <c r="K170" s="4" t="str">
        <f t="shared" si="4"/>
        <v>Breached</v>
      </c>
    </row>
    <row r="171">
      <c r="A171" s="1" t="s">
        <v>382</v>
      </c>
      <c r="B171" s="1" t="s">
        <v>16</v>
      </c>
      <c r="C171" s="1" t="s">
        <v>35</v>
      </c>
      <c r="D171" s="6" t="s">
        <v>383</v>
      </c>
      <c r="E171" s="6" t="s">
        <v>384</v>
      </c>
      <c r="F171" s="6">
        <v>48.0</v>
      </c>
      <c r="G171" s="1" t="s">
        <v>14</v>
      </c>
      <c r="H171" s="7">
        <f t="shared" ref="H171:I171" si="172">DATE(MID(D171,7,4), MID(D171,4,2), LEFT(D171,2)) + TIMEVALUE(MID(D171,12,5))
</f>
        <v>46075.33333</v>
      </c>
      <c r="I171" s="7">
        <f t="shared" si="172"/>
        <v>46077.54167</v>
      </c>
      <c r="J171" s="4">
        <f t="shared" si="3"/>
        <v>53</v>
      </c>
      <c r="K171" s="4" t="str">
        <f t="shared" si="4"/>
        <v>Breached</v>
      </c>
    </row>
    <row r="172">
      <c r="A172" s="1" t="s">
        <v>385</v>
      </c>
      <c r="B172" s="1" t="s">
        <v>23</v>
      </c>
      <c r="C172" s="1" t="s">
        <v>35</v>
      </c>
      <c r="D172" s="6" t="s">
        <v>386</v>
      </c>
      <c r="E172" s="6" t="s">
        <v>387</v>
      </c>
      <c r="F172" s="6">
        <v>48.0</v>
      </c>
      <c r="G172" s="1" t="s">
        <v>14</v>
      </c>
      <c r="H172" s="7">
        <f t="shared" ref="H172:I172" si="173">DATE(MID(D172,7,4), MID(D172,4,2), LEFT(D172,2)) + TIMEVALUE(MID(D172,12,5))
</f>
        <v>46104.125</v>
      </c>
      <c r="I172" s="7">
        <f t="shared" si="173"/>
        <v>46108.125</v>
      </c>
      <c r="J172" s="4">
        <f t="shared" si="3"/>
        <v>96</v>
      </c>
      <c r="K172" s="4" t="str">
        <f t="shared" si="4"/>
        <v>Breached</v>
      </c>
    </row>
    <row r="173">
      <c r="A173" s="1" t="s">
        <v>388</v>
      </c>
      <c r="B173" s="1" t="s">
        <v>16</v>
      </c>
      <c r="C173" s="1" t="s">
        <v>19</v>
      </c>
      <c r="D173" s="6" t="s">
        <v>106</v>
      </c>
      <c r="E173" s="6" t="s">
        <v>389</v>
      </c>
      <c r="F173" s="6">
        <v>24.0</v>
      </c>
      <c r="G173" s="1" t="s">
        <v>14</v>
      </c>
      <c r="H173" s="7">
        <f t="shared" ref="H173:I173" si="174">DATE(MID(D173,7,4), MID(D173,4,2), LEFT(D173,2)) + TIMEVALUE(MID(D173,12,5))
</f>
        <v>46102.33333</v>
      </c>
      <c r="I173" s="7">
        <f t="shared" si="174"/>
        <v>46105.08333</v>
      </c>
      <c r="J173" s="4">
        <f t="shared" si="3"/>
        <v>66</v>
      </c>
      <c r="K173" s="4" t="str">
        <f t="shared" si="4"/>
        <v>Breached</v>
      </c>
    </row>
    <row r="174">
      <c r="A174" s="1" t="s">
        <v>390</v>
      </c>
      <c r="B174" s="1" t="s">
        <v>16</v>
      </c>
      <c r="C174" s="1" t="s">
        <v>12</v>
      </c>
      <c r="D174" s="6" t="s">
        <v>391</v>
      </c>
      <c r="E174" s="6" t="s">
        <v>392</v>
      </c>
      <c r="F174" s="6">
        <v>72.0</v>
      </c>
      <c r="G174" s="1" t="s">
        <v>14</v>
      </c>
      <c r="H174" s="7">
        <f t="shared" ref="H174:I174" si="175">DATE(MID(D174,7,4), MID(D174,4,2), LEFT(D174,2)) + TIMEVALUE(MID(D174,12,5))
</f>
        <v>46039.41667</v>
      </c>
      <c r="I174" s="7">
        <f t="shared" si="175"/>
        <v>46041.375</v>
      </c>
      <c r="J174" s="4">
        <f t="shared" si="3"/>
        <v>47</v>
      </c>
      <c r="K174" s="4" t="str">
        <f t="shared" si="4"/>
        <v>Within SLA</v>
      </c>
    </row>
    <row r="175">
      <c r="A175" s="1" t="s">
        <v>393</v>
      </c>
      <c r="B175" s="1" t="s">
        <v>11</v>
      </c>
      <c r="C175" s="1" t="s">
        <v>12</v>
      </c>
      <c r="D175" s="5">
        <v>46236.5</v>
      </c>
      <c r="E175" s="5">
        <v>46328.333333333336</v>
      </c>
      <c r="F175" s="6">
        <v>72.0</v>
      </c>
      <c r="G175" s="1" t="s">
        <v>14</v>
      </c>
      <c r="H175" s="7">
        <f t="shared" ref="H175:I175" si="176">DATE(MID(D175,7,4), MID(D175,4,2), LEFT(D175,2)) + TIMEVALUE(MID(D175,12,5))
</f>
        <v>46061.5</v>
      </c>
      <c r="I175" s="7">
        <f t="shared" si="176"/>
        <v>46064.33333</v>
      </c>
      <c r="J175" s="4">
        <f t="shared" si="3"/>
        <v>68</v>
      </c>
      <c r="K175" s="4" t="str">
        <f t="shared" si="4"/>
        <v>Within SLA</v>
      </c>
    </row>
    <row r="176">
      <c r="A176" s="1" t="s">
        <v>394</v>
      </c>
      <c r="B176" s="1" t="s">
        <v>11</v>
      </c>
      <c r="C176" s="1" t="s">
        <v>12</v>
      </c>
      <c r="D176" s="6" t="s">
        <v>395</v>
      </c>
      <c r="E176" s="6" t="s">
        <v>396</v>
      </c>
      <c r="F176" s="6">
        <v>72.0</v>
      </c>
      <c r="G176" s="1" t="s">
        <v>14</v>
      </c>
      <c r="H176" s="7">
        <f t="shared" ref="H176:I176" si="177">DATE(MID(D176,7,4), MID(D176,4,2), LEFT(D176,2)) + TIMEVALUE(MID(D176,12,5))
</f>
        <v>46068.375</v>
      </c>
      <c r="I176" s="7">
        <f t="shared" si="177"/>
        <v>46070.66667</v>
      </c>
      <c r="J176" s="4">
        <f t="shared" si="3"/>
        <v>55</v>
      </c>
      <c r="K176" s="4" t="str">
        <f t="shared" si="4"/>
        <v>Within SLA</v>
      </c>
    </row>
    <row r="177">
      <c r="A177" s="1" t="s">
        <v>397</v>
      </c>
      <c r="B177" s="1" t="s">
        <v>34</v>
      </c>
      <c r="C177" s="1" t="s">
        <v>35</v>
      </c>
      <c r="D177" s="5">
        <v>46358.458333333336</v>
      </c>
      <c r="E177" s="6" t="s">
        <v>398</v>
      </c>
      <c r="F177" s="6">
        <v>48.0</v>
      </c>
      <c r="G177" s="1" t="s">
        <v>14</v>
      </c>
      <c r="H177" s="7">
        <f t="shared" ref="H177:I177" si="178">DATE(MID(D177,7,4), MID(D177,4,2), LEFT(D177,2)) + TIMEVALUE(MID(D177,12,5))
</f>
        <v>46065.45833</v>
      </c>
      <c r="I177" s="7">
        <f t="shared" si="178"/>
        <v>46068.54167</v>
      </c>
      <c r="J177" s="4">
        <f t="shared" si="3"/>
        <v>74</v>
      </c>
      <c r="K177" s="4" t="str">
        <f t="shared" si="4"/>
        <v>Breached</v>
      </c>
    </row>
    <row r="178">
      <c r="A178" s="1" t="s">
        <v>399</v>
      </c>
      <c r="B178" s="1" t="s">
        <v>11</v>
      </c>
      <c r="C178" s="1" t="s">
        <v>12</v>
      </c>
      <c r="D178" s="6" t="s">
        <v>400</v>
      </c>
      <c r="E178" s="6" t="s">
        <v>401</v>
      </c>
      <c r="F178" s="6">
        <v>72.0</v>
      </c>
      <c r="G178" s="1" t="s">
        <v>14</v>
      </c>
      <c r="H178" s="7">
        <f t="shared" ref="H178:I178" si="179">DATE(MID(D178,7,4), MID(D178,4,2), LEFT(D178,2)) + TIMEVALUE(MID(D178,12,5))
</f>
        <v>46048.33333</v>
      </c>
      <c r="I178" s="7">
        <f t="shared" si="179"/>
        <v>46051.08333</v>
      </c>
      <c r="J178" s="4">
        <f t="shared" si="3"/>
        <v>66</v>
      </c>
      <c r="K178" s="4" t="str">
        <f t="shared" si="4"/>
        <v>Within SLA</v>
      </c>
    </row>
    <row r="179">
      <c r="A179" s="1" t="s">
        <v>402</v>
      </c>
      <c r="B179" s="1" t="s">
        <v>18</v>
      </c>
      <c r="C179" s="1" t="s">
        <v>35</v>
      </c>
      <c r="D179" s="6" t="s">
        <v>403</v>
      </c>
      <c r="E179" s="5">
        <v>46024.625</v>
      </c>
      <c r="F179" s="6">
        <v>48.0</v>
      </c>
      <c r="G179" s="1" t="s">
        <v>14</v>
      </c>
      <c r="H179" s="7">
        <f t="shared" ref="H179:I179" si="180">DATE(MID(D179,7,4), MID(D179,4,2), LEFT(D179,2)) + TIMEVALUE(MID(D179,12,5))
</f>
        <v>46051</v>
      </c>
      <c r="I179" s="7">
        <f t="shared" si="180"/>
        <v>46054.625</v>
      </c>
      <c r="J179" s="4">
        <f t="shared" si="3"/>
        <v>87</v>
      </c>
      <c r="K179" s="4" t="str">
        <f t="shared" si="4"/>
        <v>Breached</v>
      </c>
    </row>
    <row r="180">
      <c r="A180" s="1" t="s">
        <v>404</v>
      </c>
      <c r="B180" s="1" t="s">
        <v>34</v>
      </c>
      <c r="C180" s="1" t="s">
        <v>35</v>
      </c>
      <c r="D180" s="6" t="s">
        <v>405</v>
      </c>
      <c r="E180" s="6" t="s">
        <v>406</v>
      </c>
      <c r="F180" s="6">
        <v>48.0</v>
      </c>
      <c r="G180" s="1" t="s">
        <v>14</v>
      </c>
      <c r="H180" s="7">
        <f t="shared" ref="H180:I180" si="181">DATE(MID(D180,7,4), MID(D180,4,2), LEFT(D180,2)) + TIMEVALUE(MID(D180,12,5))
</f>
        <v>46069.16667</v>
      </c>
      <c r="I180" s="7">
        <f t="shared" si="181"/>
        <v>46071.41667</v>
      </c>
      <c r="J180" s="4">
        <f t="shared" si="3"/>
        <v>54</v>
      </c>
      <c r="K180" s="4" t="str">
        <f t="shared" si="4"/>
        <v>Breached</v>
      </c>
    </row>
    <row r="181">
      <c r="A181" s="1" t="s">
        <v>407</v>
      </c>
      <c r="B181" s="1" t="s">
        <v>16</v>
      </c>
      <c r="C181" s="1" t="s">
        <v>35</v>
      </c>
      <c r="D181" s="5">
        <v>46055.583333333336</v>
      </c>
      <c r="E181" s="5">
        <v>46175.5</v>
      </c>
      <c r="F181" s="6">
        <v>48.0</v>
      </c>
      <c r="G181" s="1" t="s">
        <v>14</v>
      </c>
      <c r="H181" s="7">
        <f t="shared" ref="H181:I181" si="182">DATE(MID(D181,7,4), MID(D181,4,2), LEFT(D181,2)) + TIMEVALUE(MID(D181,12,5))
</f>
        <v>46055.58333</v>
      </c>
      <c r="I181" s="7">
        <f t="shared" si="182"/>
        <v>46059.5</v>
      </c>
      <c r="J181" s="4">
        <f t="shared" si="3"/>
        <v>94</v>
      </c>
      <c r="K181" s="4" t="str">
        <f t="shared" si="4"/>
        <v>Breached</v>
      </c>
    </row>
    <row r="182">
      <c r="A182" s="1" t="s">
        <v>408</v>
      </c>
      <c r="B182" s="1" t="s">
        <v>11</v>
      </c>
      <c r="C182" s="1" t="s">
        <v>35</v>
      </c>
      <c r="D182" s="5">
        <v>46174.75</v>
      </c>
      <c r="E182" s="5">
        <v>46235.041666666664</v>
      </c>
      <c r="F182" s="6">
        <v>48.0</v>
      </c>
      <c r="G182" s="1" t="s">
        <v>14</v>
      </c>
      <c r="H182" s="7">
        <f t="shared" ref="H182:I182" si="183">DATE(MID(D182,7,4), MID(D182,4,2), LEFT(D182,2)) + TIMEVALUE(MID(D182,12,5))
</f>
        <v>46028.75</v>
      </c>
      <c r="I182" s="7">
        <f t="shared" si="183"/>
        <v>46030.04167</v>
      </c>
      <c r="J182" s="4">
        <f t="shared" si="3"/>
        <v>31</v>
      </c>
      <c r="K182" s="4" t="str">
        <f t="shared" si="4"/>
        <v>Within SLA</v>
      </c>
    </row>
    <row r="183">
      <c r="A183" s="1" t="s">
        <v>409</v>
      </c>
      <c r="B183" s="1" t="s">
        <v>16</v>
      </c>
      <c r="C183" s="1" t="s">
        <v>35</v>
      </c>
      <c r="D183" s="6" t="s">
        <v>410</v>
      </c>
      <c r="E183" s="6" t="s">
        <v>411</v>
      </c>
      <c r="F183" s="6">
        <v>48.0</v>
      </c>
      <c r="G183" s="1" t="s">
        <v>14</v>
      </c>
      <c r="H183" s="7">
        <f t="shared" ref="H183:I183" si="184">DATE(MID(D183,7,4), MID(D183,4,2), LEFT(D183,2)) + TIMEVALUE(MID(D183,12,5))
</f>
        <v>46042.08333</v>
      </c>
      <c r="I183" s="7">
        <f t="shared" si="184"/>
        <v>46042.79167</v>
      </c>
      <c r="J183" s="4">
        <f t="shared" si="3"/>
        <v>17</v>
      </c>
      <c r="K183" s="4" t="str">
        <f t="shared" si="4"/>
        <v>Within SLA</v>
      </c>
    </row>
    <row r="184">
      <c r="A184" s="1" t="s">
        <v>412</v>
      </c>
      <c r="B184" s="1" t="s">
        <v>34</v>
      </c>
      <c r="C184" s="1" t="s">
        <v>35</v>
      </c>
      <c r="D184" s="5">
        <v>46143.125</v>
      </c>
      <c r="E184" s="5">
        <v>46174.625</v>
      </c>
      <c r="F184" s="6">
        <v>48.0</v>
      </c>
      <c r="G184" s="1" t="s">
        <v>14</v>
      </c>
      <c r="H184" s="7">
        <f t="shared" ref="H184:I184" si="185">DATE(MID(D184,7,4), MID(D184,4,2), LEFT(D184,2)) + TIMEVALUE(MID(D184,12,5))
</f>
        <v>46027.125</v>
      </c>
      <c r="I184" s="7">
        <f t="shared" si="185"/>
        <v>46028.625</v>
      </c>
      <c r="J184" s="4">
        <f t="shared" si="3"/>
        <v>36</v>
      </c>
      <c r="K184" s="4" t="str">
        <f t="shared" si="4"/>
        <v>Within SLA</v>
      </c>
    </row>
    <row r="185">
      <c r="A185" s="1" t="s">
        <v>413</v>
      </c>
      <c r="B185" s="1" t="s">
        <v>23</v>
      </c>
      <c r="C185" s="1" t="s">
        <v>12</v>
      </c>
      <c r="D185" s="6" t="s">
        <v>414</v>
      </c>
      <c r="E185" s="6" t="s">
        <v>415</v>
      </c>
      <c r="F185" s="6">
        <v>72.0</v>
      </c>
      <c r="G185" s="1" t="s">
        <v>14</v>
      </c>
      <c r="H185" s="7">
        <f t="shared" ref="H185:I185" si="186">DATE(MID(D185,7,4), MID(D185,4,2), LEFT(D185,2)) + TIMEVALUE(MID(D185,12,5))
</f>
        <v>46046.45833</v>
      </c>
      <c r="I185" s="7">
        <f t="shared" si="186"/>
        <v>46049.29167</v>
      </c>
      <c r="J185" s="4">
        <f t="shared" si="3"/>
        <v>68</v>
      </c>
      <c r="K185" s="4" t="str">
        <f t="shared" si="4"/>
        <v>Within SLA</v>
      </c>
    </row>
    <row r="186">
      <c r="A186" s="1" t="s">
        <v>416</v>
      </c>
      <c r="B186" s="1" t="s">
        <v>23</v>
      </c>
      <c r="C186" s="1" t="s">
        <v>19</v>
      </c>
      <c r="D186" s="5">
        <v>46205.458333333336</v>
      </c>
      <c r="E186" s="5">
        <v>46328.208333333336</v>
      </c>
      <c r="F186" s="6">
        <v>24.0</v>
      </c>
      <c r="G186" s="1" t="s">
        <v>14</v>
      </c>
      <c r="H186" s="7">
        <f t="shared" ref="H186:I186" si="187">DATE(MID(D186,7,4), MID(D186,4,2), LEFT(D186,2)) + TIMEVALUE(MID(D186,12,5))
</f>
        <v>46060.45833</v>
      </c>
      <c r="I186" s="7">
        <f t="shared" si="187"/>
        <v>46064.20833</v>
      </c>
      <c r="J186" s="4">
        <f t="shared" si="3"/>
        <v>90</v>
      </c>
      <c r="K186" s="4" t="str">
        <f t="shared" si="4"/>
        <v>Breached</v>
      </c>
    </row>
    <row r="187">
      <c r="A187" s="1" t="s">
        <v>417</v>
      </c>
      <c r="B187" s="1" t="s">
        <v>16</v>
      </c>
      <c r="C187" s="1" t="s">
        <v>35</v>
      </c>
      <c r="D187" s="6" t="s">
        <v>418</v>
      </c>
      <c r="E187" s="6" t="s">
        <v>116</v>
      </c>
      <c r="F187" s="6">
        <v>48.0</v>
      </c>
      <c r="G187" s="1" t="s">
        <v>14</v>
      </c>
      <c r="H187" s="7">
        <f t="shared" ref="H187:I187" si="188">DATE(MID(D187,7,4), MID(D187,4,2), LEFT(D187,2)) + TIMEVALUE(MID(D187,12,5))
</f>
        <v>46076.5</v>
      </c>
      <c r="I187" s="7">
        <f t="shared" si="188"/>
        <v>46077.66667</v>
      </c>
      <c r="J187" s="4">
        <f t="shared" si="3"/>
        <v>28</v>
      </c>
      <c r="K187" s="4" t="str">
        <f t="shared" si="4"/>
        <v>Within SLA</v>
      </c>
    </row>
    <row r="188">
      <c r="A188" s="1" t="s">
        <v>419</v>
      </c>
      <c r="B188" s="1" t="s">
        <v>23</v>
      </c>
      <c r="C188" s="1" t="s">
        <v>35</v>
      </c>
      <c r="D188" s="6" t="s">
        <v>420</v>
      </c>
      <c r="E188" s="6" t="s">
        <v>421</v>
      </c>
      <c r="F188" s="6">
        <v>48.0</v>
      </c>
      <c r="G188" s="1" t="s">
        <v>14</v>
      </c>
      <c r="H188" s="7">
        <f t="shared" ref="H188:I188" si="189">DATE(MID(D188,7,4), MID(D188,4,2), LEFT(D188,2)) + TIMEVALUE(MID(D188,12,5))
</f>
        <v>46102.5</v>
      </c>
      <c r="I188" s="7">
        <f t="shared" si="189"/>
        <v>46104.79167</v>
      </c>
      <c r="J188" s="4">
        <f t="shared" si="3"/>
        <v>55</v>
      </c>
      <c r="K188" s="4" t="str">
        <f t="shared" si="4"/>
        <v>Breached</v>
      </c>
    </row>
    <row r="189">
      <c r="A189" s="1" t="s">
        <v>422</v>
      </c>
      <c r="B189" s="1" t="s">
        <v>11</v>
      </c>
      <c r="C189" s="1" t="s">
        <v>35</v>
      </c>
      <c r="D189" s="6" t="s">
        <v>423</v>
      </c>
      <c r="E189" s="6" t="s">
        <v>424</v>
      </c>
      <c r="F189" s="6">
        <v>48.0</v>
      </c>
      <c r="G189" s="1" t="s">
        <v>14</v>
      </c>
      <c r="H189" s="7">
        <f t="shared" ref="H189:I189" si="190">DATE(MID(D189,7,4), MID(D189,4,2), LEFT(D189,2)) + TIMEVALUE(MID(D189,12,5))
</f>
        <v>46077.91667</v>
      </c>
      <c r="I189" s="7">
        <f t="shared" si="190"/>
        <v>46080.5</v>
      </c>
      <c r="J189" s="4">
        <f t="shared" si="3"/>
        <v>62</v>
      </c>
      <c r="K189" s="4" t="str">
        <f t="shared" si="4"/>
        <v>Breached</v>
      </c>
    </row>
    <row r="190">
      <c r="A190" s="1" t="s">
        <v>425</v>
      </c>
      <c r="B190" s="1" t="s">
        <v>23</v>
      </c>
      <c r="C190" s="1" t="s">
        <v>12</v>
      </c>
      <c r="D190" s="5">
        <v>46143.916666666664</v>
      </c>
      <c r="E190" s="5">
        <v>46204.333333333336</v>
      </c>
      <c r="F190" s="6">
        <v>72.0</v>
      </c>
      <c r="G190" s="1" t="s">
        <v>14</v>
      </c>
      <c r="H190" s="7">
        <f t="shared" ref="H190:I190" si="191">DATE(MID(D190,7,4), MID(D190,4,2), LEFT(D190,2)) + TIMEVALUE(MID(D190,12,5))
</f>
        <v>46027.91667</v>
      </c>
      <c r="I190" s="7">
        <f t="shared" si="191"/>
        <v>46029.33333</v>
      </c>
      <c r="J190" s="4">
        <f t="shared" si="3"/>
        <v>34</v>
      </c>
      <c r="K190" s="4" t="str">
        <f t="shared" si="4"/>
        <v>Within SLA</v>
      </c>
    </row>
    <row r="191">
      <c r="A191" s="1" t="s">
        <v>426</v>
      </c>
      <c r="B191" s="1" t="s">
        <v>11</v>
      </c>
      <c r="C191" s="1" t="s">
        <v>19</v>
      </c>
      <c r="D191" s="5">
        <v>46298.625</v>
      </c>
      <c r="E191" s="5">
        <v>46359.458333333336</v>
      </c>
      <c r="F191" s="6">
        <v>24.0</v>
      </c>
      <c r="G191" s="1" t="s">
        <v>14</v>
      </c>
      <c r="H191" s="7">
        <f t="shared" ref="H191:I191" si="192">DATE(MID(D191,7,4), MID(D191,4,2), LEFT(D191,2)) + TIMEVALUE(MID(D191,12,5))
</f>
        <v>46091.625</v>
      </c>
      <c r="I191" s="7">
        <f t="shared" si="192"/>
        <v>46093.45833</v>
      </c>
      <c r="J191" s="4">
        <f t="shared" si="3"/>
        <v>44</v>
      </c>
      <c r="K191" s="4" t="str">
        <f t="shared" si="4"/>
        <v>Breached</v>
      </c>
    </row>
    <row r="192">
      <c r="A192" s="1" t="s">
        <v>427</v>
      </c>
      <c r="B192" s="1" t="s">
        <v>23</v>
      </c>
      <c r="C192" s="1" t="s">
        <v>35</v>
      </c>
      <c r="D192" s="5">
        <v>46297.583333333336</v>
      </c>
      <c r="E192" s="5">
        <v>46328.125</v>
      </c>
      <c r="F192" s="6">
        <v>48.0</v>
      </c>
      <c r="G192" s="1" t="s">
        <v>14</v>
      </c>
      <c r="H192" s="7">
        <f t="shared" ref="H192:I192" si="193">DATE(MID(D192,7,4), MID(D192,4,2), LEFT(D192,2)) + TIMEVALUE(MID(D192,12,5))
</f>
        <v>46063.58333</v>
      </c>
      <c r="I192" s="7">
        <f t="shared" si="193"/>
        <v>46064.125</v>
      </c>
      <c r="J192" s="4">
        <f t="shared" si="3"/>
        <v>13</v>
      </c>
      <c r="K192" s="4" t="str">
        <f t="shared" si="4"/>
        <v>Within SLA</v>
      </c>
    </row>
    <row r="193">
      <c r="A193" s="1" t="s">
        <v>428</v>
      </c>
      <c r="B193" s="1" t="s">
        <v>23</v>
      </c>
      <c r="C193" s="1" t="s">
        <v>35</v>
      </c>
      <c r="D193" s="6" t="s">
        <v>429</v>
      </c>
      <c r="E193" s="6" t="s">
        <v>430</v>
      </c>
      <c r="F193" s="6">
        <v>48.0</v>
      </c>
      <c r="G193" s="1" t="s">
        <v>14</v>
      </c>
      <c r="H193" s="7">
        <f t="shared" ref="H193:I193" si="194">DATE(MID(D193,7,4), MID(D193,4,2), LEFT(D193,2)) + TIMEVALUE(MID(D193,12,5))
</f>
        <v>46078.16667</v>
      </c>
      <c r="I193" s="7">
        <f t="shared" si="194"/>
        <v>46081.70833</v>
      </c>
      <c r="J193" s="4">
        <f t="shared" si="3"/>
        <v>85</v>
      </c>
      <c r="K193" s="4" t="str">
        <f t="shared" si="4"/>
        <v>Breached</v>
      </c>
    </row>
    <row r="194">
      <c r="A194" s="1" t="s">
        <v>431</v>
      </c>
      <c r="B194" s="1" t="s">
        <v>11</v>
      </c>
      <c r="C194" s="1" t="s">
        <v>35</v>
      </c>
      <c r="D194" s="6" t="s">
        <v>432</v>
      </c>
      <c r="E194" s="6" t="s">
        <v>433</v>
      </c>
      <c r="F194" s="6">
        <v>48.0</v>
      </c>
      <c r="G194" s="1" t="s">
        <v>14</v>
      </c>
      <c r="H194" s="7">
        <f t="shared" ref="H194:I194" si="195">DATE(MID(D194,7,4), MID(D194,4,2), LEFT(D194,2)) + TIMEVALUE(MID(D194,12,5))
</f>
        <v>46043.83333</v>
      </c>
      <c r="I194" s="7">
        <f t="shared" si="195"/>
        <v>46045.66667</v>
      </c>
      <c r="J194" s="4">
        <f t="shared" si="3"/>
        <v>44</v>
      </c>
      <c r="K194" s="4" t="str">
        <f t="shared" si="4"/>
        <v>Within SLA</v>
      </c>
    </row>
    <row r="195">
      <c r="A195" s="1" t="s">
        <v>434</v>
      </c>
      <c r="B195" s="1" t="s">
        <v>18</v>
      </c>
      <c r="C195" s="1" t="s">
        <v>19</v>
      </c>
      <c r="D195" s="6" t="s">
        <v>435</v>
      </c>
      <c r="E195" s="6" t="s">
        <v>436</v>
      </c>
      <c r="F195" s="6">
        <v>24.0</v>
      </c>
      <c r="G195" s="1" t="s">
        <v>14</v>
      </c>
      <c r="H195" s="7">
        <f t="shared" ref="H195:I195" si="196">DATE(MID(D195,7,4), MID(D195,4,2), LEFT(D195,2)) + TIMEVALUE(MID(D195,12,5))
</f>
        <v>46039.625</v>
      </c>
      <c r="I195" s="7">
        <f t="shared" si="196"/>
        <v>46040.375</v>
      </c>
      <c r="J195" s="4">
        <f t="shared" si="3"/>
        <v>18</v>
      </c>
      <c r="K195" s="4" t="str">
        <f t="shared" si="4"/>
        <v>Within SLA</v>
      </c>
    </row>
    <row r="196">
      <c r="A196" s="1" t="s">
        <v>437</v>
      </c>
      <c r="B196" s="1" t="s">
        <v>34</v>
      </c>
      <c r="C196" s="1" t="s">
        <v>12</v>
      </c>
      <c r="D196" s="5">
        <v>46176.166666666664</v>
      </c>
      <c r="E196" s="5">
        <v>46176.916666666664</v>
      </c>
      <c r="F196" s="6">
        <v>72.0</v>
      </c>
      <c r="G196" s="1" t="s">
        <v>14</v>
      </c>
      <c r="H196" s="7">
        <f t="shared" ref="H196:I196" si="197">DATE(MID(D196,7,4), MID(D196,4,2), LEFT(D196,2)) + TIMEVALUE(MID(D196,12,5))
</f>
        <v>46087.16667</v>
      </c>
      <c r="I196" s="7">
        <f t="shared" si="197"/>
        <v>46087.91667</v>
      </c>
      <c r="J196" s="4">
        <f t="shared" si="3"/>
        <v>18</v>
      </c>
      <c r="K196" s="4" t="str">
        <f t="shared" si="4"/>
        <v>Within SLA</v>
      </c>
    </row>
    <row r="197">
      <c r="A197" s="1" t="s">
        <v>438</v>
      </c>
      <c r="B197" s="1" t="s">
        <v>23</v>
      </c>
      <c r="C197" s="1" t="s">
        <v>35</v>
      </c>
      <c r="D197" s="6" t="s">
        <v>389</v>
      </c>
      <c r="E197" s="6" t="s">
        <v>439</v>
      </c>
      <c r="F197" s="6">
        <v>48.0</v>
      </c>
      <c r="G197" s="1" t="s">
        <v>14</v>
      </c>
      <c r="H197" s="7">
        <f t="shared" ref="H197:I197" si="198">DATE(MID(D197,7,4), MID(D197,4,2), LEFT(D197,2)) + TIMEVALUE(MID(D197,12,5))
</f>
        <v>46105.08333</v>
      </c>
      <c r="I197" s="7">
        <f t="shared" si="198"/>
        <v>46107.875</v>
      </c>
      <c r="J197" s="4">
        <f t="shared" si="3"/>
        <v>67</v>
      </c>
      <c r="K197" s="4" t="str">
        <f t="shared" si="4"/>
        <v>Breached</v>
      </c>
    </row>
    <row r="198">
      <c r="A198" s="1" t="s">
        <v>440</v>
      </c>
      <c r="B198" s="1" t="s">
        <v>23</v>
      </c>
      <c r="C198" s="1" t="s">
        <v>12</v>
      </c>
      <c r="D198" s="5">
        <v>46237.541666666664</v>
      </c>
      <c r="E198" s="5">
        <v>46268.333333333336</v>
      </c>
      <c r="F198" s="6">
        <v>72.0</v>
      </c>
      <c r="G198" s="1" t="s">
        <v>14</v>
      </c>
      <c r="H198" s="7">
        <f t="shared" ref="H198:I198" si="199">DATE(MID(D198,7,4), MID(D198,4,2), LEFT(D198,2)) + TIMEVALUE(MID(D198,12,5))
</f>
        <v>46089.54167</v>
      </c>
      <c r="I198" s="7">
        <f t="shared" si="199"/>
        <v>46090.33333</v>
      </c>
      <c r="J198" s="4">
        <f t="shared" si="3"/>
        <v>19</v>
      </c>
      <c r="K198" s="4" t="str">
        <f t="shared" si="4"/>
        <v>Within SLA</v>
      </c>
    </row>
    <row r="199">
      <c r="A199" s="1" t="s">
        <v>441</v>
      </c>
      <c r="B199" s="1" t="s">
        <v>34</v>
      </c>
      <c r="C199" s="1" t="s">
        <v>35</v>
      </c>
      <c r="D199" s="6" t="s">
        <v>442</v>
      </c>
      <c r="E199" s="6" t="s">
        <v>443</v>
      </c>
      <c r="F199" s="6">
        <v>48.0</v>
      </c>
      <c r="G199" s="1" t="s">
        <v>14</v>
      </c>
      <c r="H199" s="7">
        <f t="shared" ref="H199:I199" si="200">DATE(MID(D199,7,4), MID(D199,4,2), LEFT(D199,2)) + TIMEVALUE(MID(D199,12,5))
</f>
        <v>46037</v>
      </c>
      <c r="I199" s="7">
        <f t="shared" si="200"/>
        <v>46039.875</v>
      </c>
      <c r="J199" s="4">
        <f t="shared" si="3"/>
        <v>69</v>
      </c>
      <c r="K199" s="4" t="str">
        <f t="shared" si="4"/>
        <v>Breached</v>
      </c>
    </row>
    <row r="200">
      <c r="A200" s="1" t="s">
        <v>444</v>
      </c>
      <c r="B200" s="1" t="s">
        <v>34</v>
      </c>
      <c r="C200" s="1" t="s">
        <v>19</v>
      </c>
      <c r="D200" s="6" t="s">
        <v>445</v>
      </c>
      <c r="E200" s="6" t="s">
        <v>446</v>
      </c>
      <c r="F200" s="6">
        <v>24.0</v>
      </c>
      <c r="G200" s="1" t="s">
        <v>14</v>
      </c>
      <c r="H200" s="7">
        <f t="shared" ref="H200:I200" si="201">DATE(MID(D200,7,4), MID(D200,4,2), LEFT(D200,2)) + TIMEVALUE(MID(D200,12,5))
</f>
        <v>46044.29167</v>
      </c>
      <c r="I200" s="7">
        <f t="shared" si="201"/>
        <v>46046.91667</v>
      </c>
      <c r="J200" s="4">
        <f t="shared" si="3"/>
        <v>63</v>
      </c>
      <c r="K200" s="4" t="str">
        <f t="shared" si="4"/>
        <v>Breached</v>
      </c>
    </row>
    <row r="201">
      <c r="A201" s="1" t="s">
        <v>447</v>
      </c>
      <c r="B201" s="1" t="s">
        <v>11</v>
      </c>
      <c r="C201" s="1" t="s">
        <v>35</v>
      </c>
      <c r="D201" s="5">
        <v>46237.666666666664</v>
      </c>
      <c r="E201" s="5">
        <v>46298.666666666664</v>
      </c>
      <c r="F201" s="6">
        <v>48.0</v>
      </c>
      <c r="G201" s="1" t="s">
        <v>14</v>
      </c>
      <c r="H201" s="7">
        <f t="shared" ref="H201:I201" si="202">DATE(MID(D201,7,4), MID(D201,4,2), LEFT(D201,2)) + TIMEVALUE(MID(D201,12,5))
</f>
        <v>46089.66667</v>
      </c>
      <c r="I201" s="7">
        <f t="shared" si="202"/>
        <v>46091.66667</v>
      </c>
      <c r="J201" s="4">
        <f t="shared" si="3"/>
        <v>48</v>
      </c>
      <c r="K201" s="4" t="str">
        <f t="shared" si="4"/>
        <v>Within SLA</v>
      </c>
    </row>
    <row r="202">
      <c r="A202" s="1" t="s">
        <v>448</v>
      </c>
      <c r="B202" s="1" t="s">
        <v>11</v>
      </c>
      <c r="C202" s="1" t="s">
        <v>19</v>
      </c>
      <c r="D202" s="5">
        <v>46204.708333333336</v>
      </c>
      <c r="E202" s="5">
        <v>46327.541666666664</v>
      </c>
      <c r="F202" s="6">
        <v>24.0</v>
      </c>
      <c r="G202" s="1" t="s">
        <v>14</v>
      </c>
      <c r="H202" s="7">
        <f t="shared" ref="H202:I202" si="203">DATE(MID(D202,7,4), MID(D202,4,2), LEFT(D202,2)) + TIMEVALUE(MID(D202,12,5))
</f>
        <v>46029.70833</v>
      </c>
      <c r="I202" s="7">
        <f t="shared" si="203"/>
        <v>46033.54167</v>
      </c>
      <c r="J202" s="4">
        <f t="shared" si="3"/>
        <v>92</v>
      </c>
      <c r="K202" s="4" t="str">
        <f t="shared" si="4"/>
        <v>Breached</v>
      </c>
    </row>
    <row r="203">
      <c r="A203" s="1" t="s">
        <v>449</v>
      </c>
      <c r="B203" s="1" t="s">
        <v>18</v>
      </c>
      <c r="C203" s="1" t="s">
        <v>19</v>
      </c>
      <c r="D203" s="5">
        <v>46054.208333333336</v>
      </c>
      <c r="E203" s="5">
        <v>46113.625</v>
      </c>
      <c r="F203" s="6">
        <v>24.0</v>
      </c>
      <c r="G203" s="1" t="s">
        <v>14</v>
      </c>
      <c r="H203" s="7">
        <f t="shared" ref="H203:I203" si="204">DATE(MID(D203,7,4), MID(D203,4,2), LEFT(D203,2)) + TIMEVALUE(MID(D203,12,5))
</f>
        <v>46024.20833</v>
      </c>
      <c r="I203" s="7">
        <f t="shared" si="204"/>
        <v>46026.625</v>
      </c>
      <c r="J203" s="4">
        <f t="shared" si="3"/>
        <v>58</v>
      </c>
      <c r="K203" s="4" t="str">
        <f t="shared" si="4"/>
        <v>Breached</v>
      </c>
    </row>
    <row r="204">
      <c r="A204" s="1" t="s">
        <v>450</v>
      </c>
      <c r="B204" s="1" t="s">
        <v>16</v>
      </c>
      <c r="C204" s="1" t="s">
        <v>19</v>
      </c>
      <c r="D204" s="6" t="s">
        <v>451</v>
      </c>
      <c r="E204" s="6" t="s">
        <v>452</v>
      </c>
      <c r="F204" s="6">
        <v>24.0</v>
      </c>
      <c r="G204" s="1" t="s">
        <v>14</v>
      </c>
      <c r="H204" s="7">
        <f t="shared" ref="H204:I204" si="205">DATE(MID(D204,7,4), MID(D204,4,2), LEFT(D204,2)) + TIMEVALUE(MID(D204,12,5))
</f>
        <v>46043.29167</v>
      </c>
      <c r="I204" s="7">
        <f t="shared" si="205"/>
        <v>46045.25</v>
      </c>
      <c r="J204" s="4">
        <f t="shared" si="3"/>
        <v>47</v>
      </c>
      <c r="K204" s="4" t="str">
        <f t="shared" si="4"/>
        <v>Breached</v>
      </c>
    </row>
    <row r="205">
      <c r="A205" s="1" t="s">
        <v>453</v>
      </c>
      <c r="B205" s="1" t="s">
        <v>23</v>
      </c>
      <c r="C205" s="1" t="s">
        <v>19</v>
      </c>
      <c r="D205" s="6" t="s">
        <v>454</v>
      </c>
      <c r="E205" s="5">
        <v>46084.333333333336</v>
      </c>
      <c r="F205" s="6">
        <v>24.0</v>
      </c>
      <c r="G205" s="1" t="s">
        <v>14</v>
      </c>
      <c r="H205" s="7">
        <f t="shared" ref="H205:I205" si="206">DATE(MID(D205,7,4), MID(D205,4,2), LEFT(D205,2)) + TIMEVALUE(MID(D205,12,5))
</f>
        <v>46081.20833</v>
      </c>
      <c r="I205" s="7">
        <f t="shared" si="206"/>
        <v>46084.33333</v>
      </c>
      <c r="J205" s="4">
        <f t="shared" si="3"/>
        <v>75</v>
      </c>
      <c r="K205" s="4" t="str">
        <f t="shared" si="4"/>
        <v>Breached</v>
      </c>
    </row>
    <row r="206">
      <c r="A206" s="1" t="s">
        <v>455</v>
      </c>
      <c r="B206" s="1" t="s">
        <v>23</v>
      </c>
      <c r="C206" s="1" t="s">
        <v>19</v>
      </c>
      <c r="D206" s="5">
        <v>46023.458333333336</v>
      </c>
      <c r="E206" s="5">
        <v>46082.166666666664</v>
      </c>
      <c r="F206" s="6">
        <v>24.0</v>
      </c>
      <c r="G206" s="1" t="s">
        <v>14</v>
      </c>
      <c r="H206" s="7">
        <f t="shared" ref="H206:I206" si="207">DATE(MID(D206,7,4), MID(D206,4,2), LEFT(D206,2)) + TIMEVALUE(MID(D206,12,5))
</f>
        <v>46023.45833</v>
      </c>
      <c r="I206" s="7">
        <f t="shared" si="207"/>
        <v>46025.16667</v>
      </c>
      <c r="J206" s="4">
        <f t="shared" si="3"/>
        <v>41</v>
      </c>
      <c r="K206" s="4" t="str">
        <f t="shared" si="4"/>
        <v>Breached</v>
      </c>
    </row>
    <row r="207">
      <c r="A207" s="1" t="s">
        <v>456</v>
      </c>
      <c r="B207" s="1" t="s">
        <v>18</v>
      </c>
      <c r="C207" s="1" t="s">
        <v>35</v>
      </c>
      <c r="D207" s="5">
        <v>46296.458333333336</v>
      </c>
      <c r="E207" s="6" t="s">
        <v>457</v>
      </c>
      <c r="F207" s="6">
        <v>48.0</v>
      </c>
      <c r="G207" s="1" t="s">
        <v>14</v>
      </c>
      <c r="H207" s="7">
        <f t="shared" ref="H207:I207" si="208">DATE(MID(D207,7,4), MID(D207,4,2), LEFT(D207,2)) + TIMEVALUE(MID(D207,12,5))
</f>
        <v>46032.45833</v>
      </c>
      <c r="I207" s="7">
        <f t="shared" si="208"/>
        <v>46035.25</v>
      </c>
      <c r="J207" s="4">
        <f t="shared" si="3"/>
        <v>67</v>
      </c>
      <c r="K207" s="4" t="str">
        <f t="shared" si="4"/>
        <v>Breached</v>
      </c>
    </row>
    <row r="208">
      <c r="A208" s="1" t="s">
        <v>458</v>
      </c>
      <c r="B208" s="1" t="s">
        <v>34</v>
      </c>
      <c r="C208" s="1" t="s">
        <v>35</v>
      </c>
      <c r="D208" s="5">
        <v>46329.125</v>
      </c>
      <c r="E208" s="5">
        <v>46359.75</v>
      </c>
      <c r="F208" s="6">
        <v>48.0</v>
      </c>
      <c r="G208" s="1" t="s">
        <v>14</v>
      </c>
      <c r="H208" s="7">
        <f t="shared" ref="H208:I208" si="209">DATE(MID(D208,7,4), MID(D208,4,2), LEFT(D208,2)) + TIMEVALUE(MID(D208,12,5))
</f>
        <v>46092.125</v>
      </c>
      <c r="I208" s="7">
        <f t="shared" si="209"/>
        <v>46093.75</v>
      </c>
      <c r="J208" s="4">
        <f t="shared" si="3"/>
        <v>39</v>
      </c>
      <c r="K208" s="4" t="str">
        <f t="shared" si="4"/>
        <v>Within SLA</v>
      </c>
    </row>
    <row r="209">
      <c r="A209" s="1" t="s">
        <v>459</v>
      </c>
      <c r="B209" s="1" t="s">
        <v>11</v>
      </c>
      <c r="C209" s="1" t="s">
        <v>19</v>
      </c>
      <c r="D209" s="5">
        <v>46114.75</v>
      </c>
      <c r="E209" s="5">
        <v>46144.25</v>
      </c>
      <c r="F209" s="6">
        <v>24.0</v>
      </c>
      <c r="G209" s="1" t="s">
        <v>14</v>
      </c>
      <c r="H209" s="7">
        <f t="shared" ref="H209:I209" si="210">DATE(MID(D209,7,4), MID(D209,4,2), LEFT(D209,2)) + TIMEVALUE(MID(D209,12,5))
</f>
        <v>46057.75</v>
      </c>
      <c r="I209" s="7">
        <f t="shared" si="210"/>
        <v>46058.25</v>
      </c>
      <c r="J209" s="4">
        <f t="shared" si="3"/>
        <v>12</v>
      </c>
      <c r="K209" s="4" t="str">
        <f t="shared" si="4"/>
        <v>Within SLA</v>
      </c>
    </row>
    <row r="210">
      <c r="A210" s="1" t="s">
        <v>460</v>
      </c>
      <c r="B210" s="1" t="s">
        <v>18</v>
      </c>
      <c r="C210" s="1" t="s">
        <v>12</v>
      </c>
      <c r="D210" s="6" t="s">
        <v>461</v>
      </c>
      <c r="E210" s="6" t="s">
        <v>462</v>
      </c>
      <c r="F210" s="6">
        <v>72.0</v>
      </c>
      <c r="G210" s="1" t="s">
        <v>14</v>
      </c>
      <c r="H210" s="7">
        <f t="shared" ref="H210:I210" si="211">DATE(MID(D210,7,4), MID(D210,4,2), LEFT(D210,2)) + TIMEVALUE(MID(D210,12,5))
</f>
        <v>46094.75</v>
      </c>
      <c r="I210" s="7">
        <f t="shared" si="211"/>
        <v>46097.25</v>
      </c>
      <c r="J210" s="4">
        <f t="shared" si="3"/>
        <v>60</v>
      </c>
      <c r="K210" s="4" t="str">
        <f t="shared" si="4"/>
        <v>Within SLA</v>
      </c>
    </row>
    <row r="211">
      <c r="A211" s="1" t="s">
        <v>463</v>
      </c>
      <c r="B211" s="1" t="s">
        <v>18</v>
      </c>
      <c r="C211" s="1" t="s">
        <v>19</v>
      </c>
      <c r="D211" s="5">
        <v>46114.125</v>
      </c>
      <c r="E211" s="5">
        <v>46175.708333333336</v>
      </c>
      <c r="F211" s="6">
        <v>24.0</v>
      </c>
      <c r="G211" s="1" t="s">
        <v>14</v>
      </c>
      <c r="H211" s="7">
        <f t="shared" ref="H211:I211" si="212">DATE(MID(D211,7,4), MID(D211,4,2), LEFT(D211,2)) + TIMEVALUE(MID(D211,12,5))
</f>
        <v>46057.125</v>
      </c>
      <c r="I211" s="7">
        <f t="shared" si="212"/>
        <v>46059.70833</v>
      </c>
      <c r="J211" s="4">
        <f t="shared" si="3"/>
        <v>62</v>
      </c>
      <c r="K211" s="4" t="str">
        <f t="shared" si="4"/>
        <v>Breached</v>
      </c>
    </row>
    <row r="212">
      <c r="A212" s="1" t="s">
        <v>464</v>
      </c>
      <c r="B212" s="1" t="s">
        <v>11</v>
      </c>
      <c r="C212" s="1" t="s">
        <v>35</v>
      </c>
      <c r="D212" s="5">
        <v>46297.458333333336</v>
      </c>
      <c r="E212" s="5">
        <v>46328.083333333336</v>
      </c>
      <c r="F212" s="6">
        <v>48.0</v>
      </c>
      <c r="G212" s="1" t="s">
        <v>14</v>
      </c>
      <c r="H212" s="7">
        <f t="shared" ref="H212:I212" si="213">DATE(MID(D212,7,4), MID(D212,4,2), LEFT(D212,2)) + TIMEVALUE(MID(D212,12,5))
</f>
        <v>46063.45833</v>
      </c>
      <c r="I212" s="7">
        <f t="shared" si="213"/>
        <v>46064.08333</v>
      </c>
      <c r="J212" s="4">
        <f t="shared" si="3"/>
        <v>15</v>
      </c>
      <c r="K212" s="4" t="str">
        <f t="shared" si="4"/>
        <v>Within SLA</v>
      </c>
    </row>
    <row r="213">
      <c r="A213" s="1" t="s">
        <v>465</v>
      </c>
      <c r="B213" s="1" t="s">
        <v>18</v>
      </c>
      <c r="C213" s="1" t="s">
        <v>12</v>
      </c>
      <c r="D213" s="6" t="s">
        <v>466</v>
      </c>
      <c r="E213" s="6" t="s">
        <v>467</v>
      </c>
      <c r="F213" s="6">
        <v>72.0</v>
      </c>
      <c r="G213" s="1" t="s">
        <v>14</v>
      </c>
      <c r="H213" s="7">
        <f t="shared" ref="H213:I213" si="214">DATE(MID(D213,7,4), MID(D213,4,2), LEFT(D213,2)) + TIMEVALUE(MID(D213,12,5))
</f>
        <v>46039.79167</v>
      </c>
      <c r="I213" s="7">
        <f t="shared" si="214"/>
        <v>46041.29167</v>
      </c>
      <c r="J213" s="4">
        <f t="shared" si="3"/>
        <v>36</v>
      </c>
      <c r="K213" s="4" t="str">
        <f t="shared" si="4"/>
        <v>Within SLA</v>
      </c>
    </row>
    <row r="214">
      <c r="A214" s="1" t="s">
        <v>468</v>
      </c>
      <c r="B214" s="1" t="s">
        <v>34</v>
      </c>
      <c r="C214" s="1" t="s">
        <v>12</v>
      </c>
      <c r="D214" s="6" t="s">
        <v>90</v>
      </c>
      <c r="E214" s="5">
        <v>46024.166666666664</v>
      </c>
      <c r="F214" s="6">
        <v>72.0</v>
      </c>
      <c r="G214" s="1" t="s">
        <v>14</v>
      </c>
      <c r="H214" s="7">
        <f t="shared" ref="H214:I214" si="215">DATE(MID(D214,7,4), MID(D214,4,2), LEFT(D214,2)) + TIMEVALUE(MID(D214,12,5))
</f>
        <v>46050.45833</v>
      </c>
      <c r="I214" s="7">
        <f t="shared" si="215"/>
        <v>46054.16667</v>
      </c>
      <c r="J214" s="4">
        <f t="shared" si="3"/>
        <v>89</v>
      </c>
      <c r="K214" s="4" t="str">
        <f t="shared" si="4"/>
        <v>Breached</v>
      </c>
    </row>
    <row r="215">
      <c r="A215" s="1" t="s">
        <v>469</v>
      </c>
      <c r="B215" s="1" t="s">
        <v>18</v>
      </c>
      <c r="C215" s="1" t="s">
        <v>12</v>
      </c>
      <c r="D215" s="5">
        <v>46357.458333333336</v>
      </c>
      <c r="E215" s="6" t="s">
        <v>470</v>
      </c>
      <c r="F215" s="6">
        <v>72.0</v>
      </c>
      <c r="G215" s="1" t="s">
        <v>14</v>
      </c>
      <c r="H215" s="7">
        <f t="shared" ref="H215:I215" si="216">DATE(MID(D215,7,4), MID(D215,4,2), LEFT(D215,2)) + TIMEVALUE(MID(D215,12,5))
</f>
        <v>46034.45833</v>
      </c>
      <c r="I215" s="7">
        <f t="shared" si="216"/>
        <v>46035.66667</v>
      </c>
      <c r="J215" s="4">
        <f t="shared" si="3"/>
        <v>29</v>
      </c>
      <c r="K215" s="4" t="str">
        <f t="shared" si="4"/>
        <v>Within SLA</v>
      </c>
    </row>
    <row r="216">
      <c r="A216" s="1" t="s">
        <v>471</v>
      </c>
      <c r="B216" s="1" t="s">
        <v>11</v>
      </c>
      <c r="C216" s="1" t="s">
        <v>12</v>
      </c>
      <c r="D216" s="6" t="s">
        <v>472</v>
      </c>
      <c r="E216" s="6" t="s">
        <v>473</v>
      </c>
      <c r="F216" s="6">
        <v>72.0</v>
      </c>
      <c r="G216" s="1" t="s">
        <v>14</v>
      </c>
      <c r="H216" s="7">
        <f t="shared" ref="H216:I216" si="217">DATE(MID(D216,7,4), MID(D216,4,2), LEFT(D216,2)) + TIMEVALUE(MID(D216,12,5))
</f>
        <v>46041.70833</v>
      </c>
      <c r="I216" s="7">
        <f t="shared" si="217"/>
        <v>46044.83333</v>
      </c>
      <c r="J216" s="4">
        <f t="shared" si="3"/>
        <v>75</v>
      </c>
      <c r="K216" s="4" t="str">
        <f t="shared" si="4"/>
        <v>Breached</v>
      </c>
    </row>
    <row r="217">
      <c r="A217" s="1" t="s">
        <v>474</v>
      </c>
      <c r="B217" s="1" t="s">
        <v>18</v>
      </c>
      <c r="C217" s="1" t="s">
        <v>12</v>
      </c>
      <c r="D217" s="6" t="s">
        <v>475</v>
      </c>
      <c r="E217" s="6" t="s">
        <v>476</v>
      </c>
      <c r="F217" s="6">
        <v>72.0</v>
      </c>
      <c r="G217" s="1" t="s">
        <v>14</v>
      </c>
      <c r="H217" s="7">
        <f t="shared" ref="H217:I217" si="218">DATE(MID(D217,7,4), MID(D217,4,2), LEFT(D217,2)) + TIMEVALUE(MID(D217,12,5))
</f>
        <v>46067.04167</v>
      </c>
      <c r="I217" s="7">
        <f t="shared" si="218"/>
        <v>46067.91667</v>
      </c>
      <c r="J217" s="4">
        <f t="shared" si="3"/>
        <v>21</v>
      </c>
      <c r="K217" s="4" t="str">
        <f t="shared" si="4"/>
        <v>Within SLA</v>
      </c>
    </row>
    <row r="218">
      <c r="A218" s="1" t="s">
        <v>477</v>
      </c>
      <c r="B218" s="1" t="s">
        <v>34</v>
      </c>
      <c r="C218" s="1" t="s">
        <v>35</v>
      </c>
      <c r="D218" s="5">
        <v>46297.875</v>
      </c>
      <c r="E218" s="6" t="s">
        <v>478</v>
      </c>
      <c r="F218" s="6">
        <v>48.0</v>
      </c>
      <c r="G218" s="1" t="s">
        <v>14</v>
      </c>
      <c r="H218" s="7">
        <f t="shared" ref="H218:I218" si="219">DATE(MID(D218,7,4), MID(D218,4,2), LEFT(D218,2)) + TIMEVALUE(MID(D218,12,5))
</f>
        <v>46063.875</v>
      </c>
      <c r="I218" s="7">
        <f t="shared" si="219"/>
        <v>46066.70833</v>
      </c>
      <c r="J218" s="4">
        <f t="shared" si="3"/>
        <v>68</v>
      </c>
      <c r="K218" s="4" t="str">
        <f t="shared" si="4"/>
        <v>Breached</v>
      </c>
    </row>
    <row r="219">
      <c r="A219" s="1" t="s">
        <v>479</v>
      </c>
      <c r="B219" s="1" t="s">
        <v>18</v>
      </c>
      <c r="C219" s="1" t="s">
        <v>19</v>
      </c>
      <c r="D219" s="5">
        <v>46235.708333333336</v>
      </c>
      <c r="E219" s="5">
        <v>46357.166666666664</v>
      </c>
      <c r="F219" s="6">
        <v>24.0</v>
      </c>
      <c r="G219" s="1" t="s">
        <v>14</v>
      </c>
      <c r="H219" s="7">
        <f t="shared" ref="H219:I219" si="220">DATE(MID(D219,7,4), MID(D219,4,2), LEFT(D219,2)) + TIMEVALUE(MID(D219,12,5))
</f>
        <v>46030.70833</v>
      </c>
      <c r="I219" s="7">
        <f t="shared" si="220"/>
        <v>46034.16667</v>
      </c>
      <c r="J219" s="4">
        <f t="shared" si="3"/>
        <v>83</v>
      </c>
      <c r="K219" s="4" t="str">
        <f t="shared" si="4"/>
        <v>Breached</v>
      </c>
    </row>
    <row r="220">
      <c r="A220" s="1" t="s">
        <v>480</v>
      </c>
      <c r="B220" s="1" t="s">
        <v>34</v>
      </c>
      <c r="C220" s="1" t="s">
        <v>35</v>
      </c>
      <c r="D220" s="5">
        <v>46055.833333333336</v>
      </c>
      <c r="E220" s="5">
        <v>46114.583333333336</v>
      </c>
      <c r="F220" s="6">
        <v>48.0</v>
      </c>
      <c r="G220" s="1" t="s">
        <v>14</v>
      </c>
      <c r="H220" s="7">
        <f t="shared" ref="H220:I220" si="221">DATE(MID(D220,7,4), MID(D220,4,2), LEFT(D220,2)) + TIMEVALUE(MID(D220,12,5))
</f>
        <v>46055.83333</v>
      </c>
      <c r="I220" s="7">
        <f t="shared" si="221"/>
        <v>46057.58333</v>
      </c>
      <c r="J220" s="4">
        <f t="shared" si="3"/>
        <v>42</v>
      </c>
      <c r="K220" s="4" t="str">
        <f t="shared" si="4"/>
        <v>Within SLA</v>
      </c>
    </row>
    <row r="221">
      <c r="A221" s="1" t="s">
        <v>481</v>
      </c>
      <c r="B221" s="1" t="s">
        <v>18</v>
      </c>
      <c r="C221" s="1" t="s">
        <v>19</v>
      </c>
      <c r="D221" s="5">
        <v>46296.208333333336</v>
      </c>
      <c r="E221" s="5">
        <v>46327.125</v>
      </c>
      <c r="F221" s="6">
        <v>24.0</v>
      </c>
      <c r="G221" s="1" t="s">
        <v>14</v>
      </c>
      <c r="H221" s="7">
        <f t="shared" ref="H221:I221" si="222">DATE(MID(D221,7,4), MID(D221,4,2), LEFT(D221,2)) + TIMEVALUE(MID(D221,12,5))
</f>
        <v>46032.20833</v>
      </c>
      <c r="I221" s="7">
        <f t="shared" si="222"/>
        <v>46033.125</v>
      </c>
      <c r="J221" s="4">
        <f t="shared" si="3"/>
        <v>22</v>
      </c>
      <c r="K221" s="4" t="str">
        <f t="shared" si="4"/>
        <v>Within SLA</v>
      </c>
    </row>
    <row r="222">
      <c r="A222" s="1" t="s">
        <v>482</v>
      </c>
      <c r="B222" s="1" t="s">
        <v>16</v>
      </c>
      <c r="C222" s="1" t="s">
        <v>12</v>
      </c>
      <c r="D222" s="5">
        <v>46115.75</v>
      </c>
      <c r="E222" s="5">
        <v>46176.25</v>
      </c>
      <c r="F222" s="6">
        <v>72.0</v>
      </c>
      <c r="G222" s="1" t="s">
        <v>14</v>
      </c>
      <c r="H222" s="7">
        <f t="shared" ref="H222:I222" si="223">DATE(MID(D222,7,4), MID(D222,4,2), LEFT(D222,2)) + TIMEVALUE(MID(D222,12,5))
</f>
        <v>46085.75</v>
      </c>
      <c r="I222" s="7">
        <f t="shared" si="223"/>
        <v>46087.25</v>
      </c>
      <c r="J222" s="4">
        <f t="shared" si="3"/>
        <v>36</v>
      </c>
      <c r="K222" s="4" t="str">
        <f t="shared" si="4"/>
        <v>Within SLA</v>
      </c>
    </row>
    <row r="223">
      <c r="A223" s="1" t="s">
        <v>483</v>
      </c>
      <c r="B223" s="1" t="s">
        <v>18</v>
      </c>
      <c r="C223" s="1" t="s">
        <v>19</v>
      </c>
      <c r="D223" s="5">
        <v>46024.791666666664</v>
      </c>
      <c r="E223" s="5">
        <v>46083.291666666664</v>
      </c>
      <c r="F223" s="6">
        <v>24.0</v>
      </c>
      <c r="G223" s="1" t="s">
        <v>14</v>
      </c>
      <c r="H223" s="7">
        <f t="shared" ref="H223:I223" si="224">DATE(MID(D223,7,4), MID(D223,4,2), LEFT(D223,2)) + TIMEVALUE(MID(D223,12,5))
</f>
        <v>46054.79167</v>
      </c>
      <c r="I223" s="7">
        <f t="shared" si="224"/>
        <v>46056.29167</v>
      </c>
      <c r="J223" s="4">
        <f t="shared" si="3"/>
        <v>36</v>
      </c>
      <c r="K223" s="4" t="str">
        <f t="shared" si="4"/>
        <v>Breached</v>
      </c>
    </row>
    <row r="224">
      <c r="A224" s="1" t="s">
        <v>484</v>
      </c>
      <c r="B224" s="1" t="s">
        <v>18</v>
      </c>
      <c r="C224" s="1" t="s">
        <v>19</v>
      </c>
      <c r="D224" s="6" t="s">
        <v>36</v>
      </c>
      <c r="E224" s="6" t="s">
        <v>485</v>
      </c>
      <c r="F224" s="6">
        <v>24.0</v>
      </c>
      <c r="G224" s="1" t="s">
        <v>14</v>
      </c>
      <c r="H224" s="7">
        <f t="shared" ref="H224:I224" si="225">DATE(MID(D224,7,4), MID(D224,4,2), LEFT(D224,2)) + TIMEVALUE(MID(D224,12,5))
</f>
        <v>46037.41667</v>
      </c>
      <c r="I224" s="7">
        <f t="shared" si="225"/>
        <v>46038.70833</v>
      </c>
      <c r="J224" s="4">
        <f t="shared" si="3"/>
        <v>31</v>
      </c>
      <c r="K224" s="4" t="str">
        <f t="shared" si="4"/>
        <v>Breached</v>
      </c>
    </row>
    <row r="225">
      <c r="A225" s="1" t="s">
        <v>486</v>
      </c>
      <c r="B225" s="1" t="s">
        <v>18</v>
      </c>
      <c r="C225" s="1" t="s">
        <v>19</v>
      </c>
      <c r="D225" s="5">
        <v>46055.708333333336</v>
      </c>
      <c r="E225" s="5">
        <v>46144.25</v>
      </c>
      <c r="F225" s="6">
        <v>24.0</v>
      </c>
      <c r="G225" s="1" t="s">
        <v>14</v>
      </c>
      <c r="H225" s="7">
        <f t="shared" ref="H225:I225" si="226">DATE(MID(D225,7,4), MID(D225,4,2), LEFT(D225,2)) + TIMEVALUE(MID(D225,12,5))
</f>
        <v>46055.70833</v>
      </c>
      <c r="I225" s="7">
        <f t="shared" si="226"/>
        <v>46058.25</v>
      </c>
      <c r="J225" s="4">
        <f t="shared" si="3"/>
        <v>61</v>
      </c>
      <c r="K225" s="4" t="str">
        <f t="shared" si="4"/>
        <v>Breached</v>
      </c>
    </row>
    <row r="226">
      <c r="A226" s="1" t="s">
        <v>487</v>
      </c>
      <c r="B226" s="1" t="s">
        <v>23</v>
      </c>
      <c r="C226" s="1" t="s">
        <v>35</v>
      </c>
      <c r="D226" s="6" t="s">
        <v>488</v>
      </c>
      <c r="E226" s="6" t="s">
        <v>489</v>
      </c>
      <c r="F226" s="6">
        <v>48.0</v>
      </c>
      <c r="G226" s="1" t="s">
        <v>14</v>
      </c>
      <c r="H226" s="7">
        <f t="shared" ref="H226:I226" si="227">DATE(MID(D226,7,4), MID(D226,4,2), LEFT(D226,2)) + TIMEVALUE(MID(D226,12,5))
</f>
        <v>46037.16667</v>
      </c>
      <c r="I226" s="7">
        <f t="shared" si="227"/>
        <v>46040</v>
      </c>
      <c r="J226" s="4">
        <f t="shared" si="3"/>
        <v>68</v>
      </c>
      <c r="K226" s="4" t="str">
        <f t="shared" si="4"/>
        <v>Breached</v>
      </c>
    </row>
    <row r="227">
      <c r="A227" s="1" t="s">
        <v>490</v>
      </c>
      <c r="B227" s="1" t="s">
        <v>34</v>
      </c>
      <c r="C227" s="1" t="s">
        <v>35</v>
      </c>
      <c r="D227" s="6" t="s">
        <v>491</v>
      </c>
      <c r="E227" s="6" t="s">
        <v>492</v>
      </c>
      <c r="F227" s="6">
        <v>48.0</v>
      </c>
      <c r="G227" s="1" t="s">
        <v>14</v>
      </c>
      <c r="H227" s="7">
        <f t="shared" ref="H227:I227" si="228">DATE(MID(D227,7,4), MID(D227,4,2), LEFT(D227,2)) + TIMEVALUE(MID(D227,12,5))
</f>
        <v>46076.58333</v>
      </c>
      <c r="I227" s="7">
        <f t="shared" si="228"/>
        <v>46080.20833</v>
      </c>
      <c r="J227" s="4">
        <f t="shared" si="3"/>
        <v>87</v>
      </c>
      <c r="K227" s="4" t="str">
        <f t="shared" si="4"/>
        <v>Breached</v>
      </c>
    </row>
    <row r="228">
      <c r="A228" s="1" t="s">
        <v>493</v>
      </c>
      <c r="B228" s="1" t="s">
        <v>18</v>
      </c>
      <c r="C228" s="1" t="s">
        <v>35</v>
      </c>
      <c r="D228" s="5">
        <v>46056.666666666664</v>
      </c>
      <c r="E228" s="5">
        <v>46115.875</v>
      </c>
      <c r="F228" s="6">
        <v>48.0</v>
      </c>
      <c r="G228" s="1" t="s">
        <v>14</v>
      </c>
      <c r="H228" s="7">
        <f t="shared" ref="H228:I228" si="229">DATE(MID(D228,7,4), MID(D228,4,2), LEFT(D228,2)) + TIMEVALUE(MID(D228,12,5))
</f>
        <v>46083.66667</v>
      </c>
      <c r="I228" s="7">
        <f t="shared" si="229"/>
        <v>46085.875</v>
      </c>
      <c r="J228" s="4">
        <f t="shared" si="3"/>
        <v>53</v>
      </c>
      <c r="K228" s="4" t="str">
        <f t="shared" si="4"/>
        <v>Breached</v>
      </c>
    </row>
    <row r="229">
      <c r="A229" s="1" t="s">
        <v>494</v>
      </c>
      <c r="B229" s="1" t="s">
        <v>23</v>
      </c>
      <c r="C229" s="1" t="s">
        <v>35</v>
      </c>
      <c r="D229" s="5">
        <v>46084.833333333336</v>
      </c>
      <c r="E229" s="5">
        <v>46145.916666666664</v>
      </c>
      <c r="F229" s="6">
        <v>48.0</v>
      </c>
      <c r="G229" s="1" t="s">
        <v>14</v>
      </c>
      <c r="H229" s="7">
        <f t="shared" ref="H229:I229" si="230">DATE(MID(D229,7,4), MID(D229,4,2), LEFT(D229,2)) + TIMEVALUE(MID(D229,12,5))
</f>
        <v>46084.83333</v>
      </c>
      <c r="I229" s="7">
        <f t="shared" si="230"/>
        <v>46086.91667</v>
      </c>
      <c r="J229" s="4">
        <f t="shared" si="3"/>
        <v>50</v>
      </c>
      <c r="K229" s="4" t="str">
        <f t="shared" si="4"/>
        <v>Breached</v>
      </c>
    </row>
    <row r="230">
      <c r="A230" s="1" t="s">
        <v>495</v>
      </c>
      <c r="B230" s="1" t="s">
        <v>34</v>
      </c>
      <c r="C230" s="1" t="s">
        <v>35</v>
      </c>
      <c r="D230" s="5">
        <v>46357.333333333336</v>
      </c>
      <c r="E230" s="6" t="s">
        <v>496</v>
      </c>
      <c r="F230" s="6">
        <v>48.0</v>
      </c>
      <c r="G230" s="1" t="s">
        <v>14</v>
      </c>
      <c r="H230" s="7">
        <f t="shared" ref="H230:I230" si="231">DATE(MID(D230,7,4), MID(D230,4,2), LEFT(D230,2)) + TIMEVALUE(MID(D230,12,5))
</f>
        <v>46034.33333</v>
      </c>
      <c r="I230" s="7">
        <f t="shared" si="231"/>
        <v>46037.58333</v>
      </c>
      <c r="J230" s="4">
        <f t="shared" si="3"/>
        <v>78</v>
      </c>
      <c r="K230" s="4" t="str">
        <f t="shared" si="4"/>
        <v>Breached</v>
      </c>
    </row>
    <row r="231">
      <c r="A231" s="1" t="s">
        <v>497</v>
      </c>
      <c r="B231" s="1" t="s">
        <v>34</v>
      </c>
      <c r="C231" s="1" t="s">
        <v>35</v>
      </c>
      <c r="D231" s="6" t="s">
        <v>498</v>
      </c>
      <c r="E231" s="6" t="s">
        <v>161</v>
      </c>
      <c r="F231" s="6">
        <v>48.0</v>
      </c>
      <c r="G231" s="1" t="s">
        <v>14</v>
      </c>
      <c r="H231" s="7">
        <f t="shared" ref="H231:I231" si="232">DATE(MID(D231,7,4), MID(D231,4,2), LEFT(D231,2)) + TIMEVALUE(MID(D231,12,5))
</f>
        <v>46046.5</v>
      </c>
      <c r="I231" s="7">
        <f t="shared" si="232"/>
        <v>46050.20833</v>
      </c>
      <c r="J231" s="4">
        <f t="shared" si="3"/>
        <v>89</v>
      </c>
      <c r="K231" s="4" t="str">
        <f t="shared" si="4"/>
        <v>Breached</v>
      </c>
    </row>
    <row r="232">
      <c r="A232" s="1" t="s">
        <v>499</v>
      </c>
      <c r="B232" s="1" t="s">
        <v>18</v>
      </c>
      <c r="C232" s="1" t="s">
        <v>12</v>
      </c>
      <c r="D232" s="5">
        <v>46054.166666666664</v>
      </c>
      <c r="E232" s="5">
        <v>46143.875</v>
      </c>
      <c r="F232" s="6">
        <v>72.0</v>
      </c>
      <c r="G232" s="1" t="s">
        <v>14</v>
      </c>
      <c r="H232" s="7">
        <f t="shared" ref="H232:I232" si="233">DATE(MID(D232,7,4), MID(D232,4,2), LEFT(D232,2)) + TIMEVALUE(MID(D232,12,5))
</f>
        <v>46024.16667</v>
      </c>
      <c r="I232" s="7">
        <f t="shared" si="233"/>
        <v>46027.875</v>
      </c>
      <c r="J232" s="4">
        <f t="shared" si="3"/>
        <v>89</v>
      </c>
      <c r="K232" s="4" t="str">
        <f t="shared" si="4"/>
        <v>Breached</v>
      </c>
    </row>
    <row r="233">
      <c r="A233" s="1" t="s">
        <v>500</v>
      </c>
      <c r="B233" s="1" t="s">
        <v>11</v>
      </c>
      <c r="C233" s="1" t="s">
        <v>12</v>
      </c>
      <c r="D233" s="6" t="s">
        <v>501</v>
      </c>
      <c r="E233" s="6" t="s">
        <v>502</v>
      </c>
      <c r="F233" s="6">
        <v>72.0</v>
      </c>
      <c r="G233" s="1" t="s">
        <v>14</v>
      </c>
      <c r="H233" s="7">
        <f t="shared" ref="H233:I233" si="234">DATE(MID(D233,7,4), MID(D233,4,2), LEFT(D233,2)) + TIMEVALUE(MID(D233,12,5))
</f>
        <v>46103.375</v>
      </c>
      <c r="I233" s="7">
        <f t="shared" si="234"/>
        <v>46106.08333</v>
      </c>
      <c r="J233" s="4">
        <f t="shared" si="3"/>
        <v>65</v>
      </c>
      <c r="K233" s="4" t="str">
        <f t="shared" si="4"/>
        <v>Within SLA</v>
      </c>
    </row>
    <row r="234">
      <c r="A234" s="1" t="s">
        <v>503</v>
      </c>
      <c r="B234" s="1" t="s">
        <v>16</v>
      </c>
      <c r="C234" s="1" t="s">
        <v>19</v>
      </c>
      <c r="D234" s="5">
        <v>46175.875</v>
      </c>
      <c r="E234" s="5">
        <v>46267.708333333336</v>
      </c>
      <c r="F234" s="6">
        <v>24.0</v>
      </c>
      <c r="G234" s="1" t="s">
        <v>14</v>
      </c>
      <c r="H234" s="7">
        <f t="shared" ref="H234:I234" si="235">DATE(MID(D234,7,4), MID(D234,4,2), LEFT(D234,2)) + TIMEVALUE(MID(D234,12,5))
</f>
        <v>46059.875</v>
      </c>
      <c r="I234" s="7">
        <f t="shared" si="235"/>
        <v>46062.70833</v>
      </c>
      <c r="J234" s="4">
        <f t="shared" si="3"/>
        <v>68</v>
      </c>
      <c r="K234" s="4" t="str">
        <f t="shared" si="4"/>
        <v>Breached</v>
      </c>
    </row>
    <row r="235">
      <c r="A235" s="1" t="s">
        <v>504</v>
      </c>
      <c r="B235" s="1" t="s">
        <v>11</v>
      </c>
      <c r="C235" s="1" t="s">
        <v>35</v>
      </c>
      <c r="D235" s="6" t="s">
        <v>505</v>
      </c>
      <c r="E235" s="6" t="s">
        <v>239</v>
      </c>
      <c r="F235" s="6">
        <v>48.0</v>
      </c>
      <c r="G235" s="1" t="s">
        <v>14</v>
      </c>
      <c r="H235" s="7">
        <f t="shared" ref="H235:I235" si="236">DATE(MID(D235,7,4), MID(D235,4,2), LEFT(D235,2)) + TIMEVALUE(MID(D235,12,5))
</f>
        <v>46048.16667</v>
      </c>
      <c r="I235" s="7">
        <f t="shared" si="236"/>
        <v>46050.91667</v>
      </c>
      <c r="J235" s="4">
        <f t="shared" si="3"/>
        <v>66</v>
      </c>
      <c r="K235" s="4" t="str">
        <f t="shared" si="4"/>
        <v>Breached</v>
      </c>
    </row>
    <row r="236">
      <c r="A236" s="1" t="s">
        <v>506</v>
      </c>
      <c r="B236" s="1" t="s">
        <v>18</v>
      </c>
      <c r="C236" s="1" t="s">
        <v>19</v>
      </c>
      <c r="D236" s="6" t="s">
        <v>507</v>
      </c>
      <c r="E236" s="5">
        <v>46055.0</v>
      </c>
      <c r="F236" s="6">
        <v>24.0</v>
      </c>
      <c r="G236" s="1" t="s">
        <v>14</v>
      </c>
      <c r="H236" s="7">
        <f t="shared" ref="H236:I236" si="237">DATE(MID(D236,7,4), MID(D236,4,2), LEFT(D236,2)) + TIMEVALUE(MID(D236,12,5))
</f>
        <v>46052</v>
      </c>
      <c r="I236" s="7">
        <f t="shared" si="237"/>
        <v>46055</v>
      </c>
      <c r="J236" s="4">
        <f t="shared" si="3"/>
        <v>72</v>
      </c>
      <c r="K236" s="4" t="str">
        <f t="shared" si="4"/>
        <v>Breached</v>
      </c>
    </row>
    <row r="237">
      <c r="A237" s="1" t="s">
        <v>508</v>
      </c>
      <c r="B237" s="1" t="s">
        <v>16</v>
      </c>
      <c r="C237" s="1" t="s">
        <v>35</v>
      </c>
      <c r="D237" s="6" t="s">
        <v>509</v>
      </c>
      <c r="E237" s="5">
        <v>46025.083333333336</v>
      </c>
      <c r="F237" s="6">
        <v>48.0</v>
      </c>
      <c r="G237" s="1" t="s">
        <v>14</v>
      </c>
      <c r="H237" s="7">
        <f t="shared" ref="H237:I237" si="238">DATE(MID(D237,7,4), MID(D237,4,2), LEFT(D237,2)) + TIMEVALUE(MID(D237,12,5))
</f>
        <v>46080.16667</v>
      </c>
      <c r="I237" s="7">
        <f t="shared" si="238"/>
        <v>46082.08333</v>
      </c>
      <c r="J237" s="4">
        <f t="shared" si="3"/>
        <v>46</v>
      </c>
      <c r="K237" s="4" t="str">
        <f t="shared" si="4"/>
        <v>Within SLA</v>
      </c>
    </row>
    <row r="238">
      <c r="A238" s="1" t="s">
        <v>510</v>
      </c>
      <c r="B238" s="1" t="s">
        <v>16</v>
      </c>
      <c r="C238" s="1" t="s">
        <v>19</v>
      </c>
      <c r="D238" s="6" t="s">
        <v>44</v>
      </c>
      <c r="E238" s="6" t="s">
        <v>511</v>
      </c>
      <c r="F238" s="6">
        <v>24.0</v>
      </c>
      <c r="G238" s="1" t="s">
        <v>14</v>
      </c>
      <c r="H238" s="7">
        <f t="shared" ref="H238:I238" si="239">DATE(MID(D238,7,4), MID(D238,4,2), LEFT(D238,2)) + TIMEVALUE(MID(D238,12,5))
</f>
        <v>46099.20833</v>
      </c>
      <c r="I238" s="7">
        <f t="shared" si="239"/>
        <v>46101.04167</v>
      </c>
      <c r="J238" s="4">
        <f t="shared" si="3"/>
        <v>44</v>
      </c>
      <c r="K238" s="4" t="str">
        <f t="shared" si="4"/>
        <v>Breached</v>
      </c>
    </row>
    <row r="239">
      <c r="A239" s="1" t="s">
        <v>512</v>
      </c>
      <c r="B239" s="1" t="s">
        <v>11</v>
      </c>
      <c r="C239" s="1" t="s">
        <v>35</v>
      </c>
      <c r="D239" s="6" t="s">
        <v>513</v>
      </c>
      <c r="E239" s="6" t="s">
        <v>514</v>
      </c>
      <c r="F239" s="6">
        <v>48.0</v>
      </c>
      <c r="G239" s="1" t="s">
        <v>14</v>
      </c>
      <c r="H239" s="7">
        <f t="shared" ref="H239:I239" si="240">DATE(MID(D239,7,4), MID(D239,4,2), LEFT(D239,2)) + TIMEVALUE(MID(D239,12,5))
</f>
        <v>46039.70833</v>
      </c>
      <c r="I239" s="7">
        <f t="shared" si="240"/>
        <v>46042.875</v>
      </c>
      <c r="J239" s="4">
        <f t="shared" si="3"/>
        <v>76</v>
      </c>
      <c r="K239" s="4" t="str">
        <f t="shared" si="4"/>
        <v>Breached</v>
      </c>
    </row>
    <row r="240">
      <c r="A240" s="1" t="s">
        <v>515</v>
      </c>
      <c r="B240" s="1" t="s">
        <v>18</v>
      </c>
      <c r="C240" s="1" t="s">
        <v>12</v>
      </c>
      <c r="D240" s="6" t="s">
        <v>516</v>
      </c>
      <c r="E240" s="6" t="s">
        <v>517</v>
      </c>
      <c r="F240" s="6">
        <v>72.0</v>
      </c>
      <c r="G240" s="1" t="s">
        <v>14</v>
      </c>
      <c r="H240" s="7">
        <f t="shared" ref="H240:I240" si="241">DATE(MID(D240,7,4), MID(D240,4,2), LEFT(D240,2)) + TIMEVALUE(MID(D240,12,5))
</f>
        <v>46101.375</v>
      </c>
      <c r="I240" s="7">
        <f t="shared" si="241"/>
        <v>46105.375</v>
      </c>
      <c r="J240" s="4">
        <f t="shared" si="3"/>
        <v>96</v>
      </c>
      <c r="K240" s="4" t="str">
        <f t="shared" si="4"/>
        <v>Breached</v>
      </c>
    </row>
    <row r="241">
      <c r="A241" s="1" t="s">
        <v>518</v>
      </c>
      <c r="B241" s="1" t="s">
        <v>34</v>
      </c>
      <c r="C241" s="1" t="s">
        <v>35</v>
      </c>
      <c r="D241" s="5">
        <v>46296.166666666664</v>
      </c>
      <c r="E241" s="5">
        <v>46327.041666666664</v>
      </c>
      <c r="F241" s="6">
        <v>48.0</v>
      </c>
      <c r="G241" s="1" t="s">
        <v>14</v>
      </c>
      <c r="H241" s="7">
        <f t="shared" ref="H241:I241" si="242">DATE(MID(D241,7,4), MID(D241,4,2), LEFT(D241,2)) + TIMEVALUE(MID(D241,12,5))
</f>
        <v>46032.16667</v>
      </c>
      <c r="I241" s="7">
        <f t="shared" si="242"/>
        <v>46033.04167</v>
      </c>
      <c r="J241" s="4">
        <f t="shared" si="3"/>
        <v>21</v>
      </c>
      <c r="K241" s="4" t="str">
        <f t="shared" si="4"/>
        <v>Within SLA</v>
      </c>
    </row>
    <row r="242">
      <c r="A242" s="1" t="s">
        <v>519</v>
      </c>
      <c r="B242" s="1" t="s">
        <v>23</v>
      </c>
      <c r="C242" s="1" t="s">
        <v>19</v>
      </c>
      <c r="D242" s="6" t="s">
        <v>520</v>
      </c>
      <c r="E242" s="6" t="s">
        <v>314</v>
      </c>
      <c r="F242" s="6">
        <v>24.0</v>
      </c>
      <c r="G242" s="1" t="s">
        <v>14</v>
      </c>
      <c r="H242" s="7">
        <f t="shared" ref="H242:I242" si="243">DATE(MID(D242,7,4), MID(D242,4,2), LEFT(D242,2)) + TIMEVALUE(MID(D242,12,5))
</f>
        <v>46038.125</v>
      </c>
      <c r="I242" s="7">
        <f t="shared" si="243"/>
        <v>46038.83333</v>
      </c>
      <c r="J242" s="4">
        <f t="shared" si="3"/>
        <v>17</v>
      </c>
      <c r="K242" s="4" t="str">
        <f t="shared" si="4"/>
        <v>Within SLA</v>
      </c>
    </row>
    <row r="243">
      <c r="A243" s="1" t="s">
        <v>521</v>
      </c>
      <c r="B243" s="1" t="s">
        <v>18</v>
      </c>
      <c r="C243" s="1" t="s">
        <v>35</v>
      </c>
      <c r="D243" s="6" t="s">
        <v>522</v>
      </c>
      <c r="E243" s="5">
        <v>46055.75</v>
      </c>
      <c r="F243" s="6">
        <v>48.0</v>
      </c>
      <c r="G243" s="1" t="s">
        <v>14</v>
      </c>
      <c r="H243" s="7">
        <f t="shared" ref="H243:I243" si="244">DATE(MID(D243,7,4), MID(D243,4,2), LEFT(D243,2)) + TIMEVALUE(MID(D243,12,5))
</f>
        <v>46052.08333</v>
      </c>
      <c r="I243" s="7">
        <f t="shared" si="244"/>
        <v>46055.75</v>
      </c>
      <c r="J243" s="4">
        <f t="shared" si="3"/>
        <v>88</v>
      </c>
      <c r="K243" s="4" t="str">
        <f t="shared" si="4"/>
        <v>Breached</v>
      </c>
    </row>
    <row r="244">
      <c r="A244" s="1" t="s">
        <v>523</v>
      </c>
      <c r="B244" s="1" t="s">
        <v>34</v>
      </c>
      <c r="C244" s="1" t="s">
        <v>19</v>
      </c>
      <c r="D244" s="6" t="s">
        <v>524</v>
      </c>
      <c r="E244" s="6" t="s">
        <v>525</v>
      </c>
      <c r="F244" s="6">
        <v>24.0</v>
      </c>
      <c r="G244" s="1" t="s">
        <v>14</v>
      </c>
      <c r="H244" s="7">
        <f t="shared" ref="H244:I244" si="245">DATE(MID(D244,7,4), MID(D244,4,2), LEFT(D244,2)) + TIMEVALUE(MID(D244,12,5))
</f>
        <v>46100.33333</v>
      </c>
      <c r="I244" s="7">
        <f t="shared" si="245"/>
        <v>46103.75</v>
      </c>
      <c r="J244" s="4">
        <f t="shared" si="3"/>
        <v>82</v>
      </c>
      <c r="K244" s="4" t="str">
        <f t="shared" si="4"/>
        <v>Breached</v>
      </c>
    </row>
    <row r="245">
      <c r="A245" s="1" t="s">
        <v>526</v>
      </c>
      <c r="B245" s="1" t="s">
        <v>16</v>
      </c>
      <c r="C245" s="1" t="s">
        <v>19</v>
      </c>
      <c r="D245" s="6" t="s">
        <v>527</v>
      </c>
      <c r="E245" s="6" t="s">
        <v>528</v>
      </c>
      <c r="F245" s="6">
        <v>24.0</v>
      </c>
      <c r="G245" s="1" t="s">
        <v>14</v>
      </c>
      <c r="H245" s="7">
        <f t="shared" ref="H245:I245" si="246">DATE(MID(D245,7,4), MID(D245,4,2), LEFT(D245,2)) + TIMEVALUE(MID(D245,12,5))
</f>
        <v>46048.29167</v>
      </c>
      <c r="I245" s="7">
        <f t="shared" si="246"/>
        <v>46050.66667</v>
      </c>
      <c r="J245" s="4">
        <f t="shared" si="3"/>
        <v>57</v>
      </c>
      <c r="K245" s="4" t="str">
        <f t="shared" si="4"/>
        <v>Breached</v>
      </c>
    </row>
    <row r="246">
      <c r="A246" s="1" t="s">
        <v>529</v>
      </c>
      <c r="B246" s="1" t="s">
        <v>34</v>
      </c>
      <c r="C246" s="1" t="s">
        <v>19</v>
      </c>
      <c r="D246" s="6" t="s">
        <v>478</v>
      </c>
      <c r="E246" s="6" t="s">
        <v>398</v>
      </c>
      <c r="F246" s="6">
        <v>24.0</v>
      </c>
      <c r="G246" s="1" t="s">
        <v>14</v>
      </c>
      <c r="H246" s="7">
        <f t="shared" ref="H246:I246" si="247">DATE(MID(D246,7,4), MID(D246,4,2), LEFT(D246,2)) + TIMEVALUE(MID(D246,12,5))
</f>
        <v>46066.70833</v>
      </c>
      <c r="I246" s="7">
        <f t="shared" si="247"/>
        <v>46068.54167</v>
      </c>
      <c r="J246" s="4">
        <f t="shared" si="3"/>
        <v>44</v>
      </c>
      <c r="K246" s="4" t="str">
        <f t="shared" si="4"/>
        <v>Breached</v>
      </c>
    </row>
    <row r="247">
      <c r="A247" s="1" t="s">
        <v>530</v>
      </c>
      <c r="B247" s="1" t="s">
        <v>16</v>
      </c>
      <c r="C247" s="1" t="s">
        <v>35</v>
      </c>
      <c r="D247" s="5">
        <v>46143.625</v>
      </c>
      <c r="E247" s="5">
        <v>46235.458333333336</v>
      </c>
      <c r="F247" s="6">
        <v>48.0</v>
      </c>
      <c r="G247" s="1" t="s">
        <v>14</v>
      </c>
      <c r="H247" s="7">
        <f t="shared" ref="H247:I247" si="248">DATE(MID(D247,7,4), MID(D247,4,2), LEFT(D247,2)) + TIMEVALUE(MID(D247,12,5))
</f>
        <v>46027.625</v>
      </c>
      <c r="I247" s="7">
        <f t="shared" si="248"/>
        <v>46030.45833</v>
      </c>
      <c r="J247" s="4">
        <f t="shared" si="3"/>
        <v>68</v>
      </c>
      <c r="K247" s="4" t="str">
        <f t="shared" si="4"/>
        <v>Breached</v>
      </c>
    </row>
    <row r="248">
      <c r="A248" s="1" t="s">
        <v>531</v>
      </c>
      <c r="B248" s="1" t="s">
        <v>11</v>
      </c>
      <c r="C248" s="1" t="s">
        <v>12</v>
      </c>
      <c r="D248" s="5">
        <v>46237.375</v>
      </c>
      <c r="E248" s="5">
        <v>46329.0</v>
      </c>
      <c r="F248" s="6">
        <v>72.0</v>
      </c>
      <c r="G248" s="1" t="s">
        <v>14</v>
      </c>
      <c r="H248" s="7">
        <f t="shared" ref="H248:I248" si="249">DATE(MID(D248,7,4), MID(D248,4,2), LEFT(D248,2)) + TIMEVALUE(MID(D248,12,5))
</f>
        <v>46089.375</v>
      </c>
      <c r="I248" s="7">
        <f t="shared" si="249"/>
        <v>46092</v>
      </c>
      <c r="J248" s="4">
        <f t="shared" si="3"/>
        <v>63</v>
      </c>
      <c r="K248" s="4" t="str">
        <f t="shared" si="4"/>
        <v>Within SLA</v>
      </c>
    </row>
    <row r="249">
      <c r="A249" s="1" t="s">
        <v>532</v>
      </c>
      <c r="B249" s="1" t="s">
        <v>34</v>
      </c>
      <c r="C249" s="1" t="s">
        <v>35</v>
      </c>
      <c r="D249" s="5">
        <v>46143.166666666664</v>
      </c>
      <c r="E249" s="5">
        <v>46143.75</v>
      </c>
      <c r="F249" s="6">
        <v>48.0</v>
      </c>
      <c r="G249" s="1" t="s">
        <v>14</v>
      </c>
      <c r="H249" s="7">
        <f t="shared" ref="H249:I249" si="250">DATE(MID(D249,7,4), MID(D249,4,2), LEFT(D249,2)) + TIMEVALUE(MID(D249,12,5))
</f>
        <v>46027.16667</v>
      </c>
      <c r="I249" s="7">
        <f t="shared" si="250"/>
        <v>46027.75</v>
      </c>
      <c r="J249" s="4">
        <f t="shared" si="3"/>
        <v>14</v>
      </c>
      <c r="K249" s="4" t="str">
        <f t="shared" si="4"/>
        <v>Within SLA</v>
      </c>
    </row>
    <row r="250">
      <c r="A250" s="1" t="s">
        <v>533</v>
      </c>
      <c r="B250" s="1" t="s">
        <v>11</v>
      </c>
      <c r="C250" s="1" t="s">
        <v>12</v>
      </c>
      <c r="D250" s="5">
        <v>46175.875</v>
      </c>
      <c r="E250" s="5">
        <v>46297.125</v>
      </c>
      <c r="F250" s="6">
        <v>72.0</v>
      </c>
      <c r="G250" s="1" t="s">
        <v>14</v>
      </c>
      <c r="H250" s="7">
        <f t="shared" ref="H250:I250" si="251">DATE(MID(D250,7,4), MID(D250,4,2), LEFT(D250,2)) + TIMEVALUE(MID(D250,12,5))
</f>
        <v>46059.875</v>
      </c>
      <c r="I250" s="7">
        <f t="shared" si="251"/>
        <v>46063.125</v>
      </c>
      <c r="J250" s="4">
        <f t="shared" si="3"/>
        <v>78</v>
      </c>
      <c r="K250" s="4" t="str">
        <f t="shared" si="4"/>
        <v>Breached</v>
      </c>
    </row>
    <row r="251">
      <c r="A251" s="1" t="s">
        <v>534</v>
      </c>
      <c r="B251" s="1" t="s">
        <v>23</v>
      </c>
      <c r="C251" s="1" t="s">
        <v>12</v>
      </c>
      <c r="D251" s="6" t="s">
        <v>535</v>
      </c>
      <c r="E251" s="6" t="s">
        <v>536</v>
      </c>
      <c r="F251" s="6">
        <v>72.0</v>
      </c>
      <c r="G251" s="1" t="s">
        <v>14</v>
      </c>
      <c r="H251" s="7">
        <f t="shared" ref="H251:I251" si="252">DATE(MID(D251,7,4), MID(D251,4,2), LEFT(D251,2)) + TIMEVALUE(MID(D251,12,5))
</f>
        <v>46037.125</v>
      </c>
      <c r="I251" s="7">
        <f t="shared" si="252"/>
        <v>46037.83333</v>
      </c>
      <c r="J251" s="4">
        <f t="shared" si="3"/>
        <v>17</v>
      </c>
      <c r="K251" s="4" t="str">
        <f t="shared" si="4"/>
        <v>Within SLA</v>
      </c>
    </row>
    <row r="252">
      <c r="A252" s="1" t="s">
        <v>537</v>
      </c>
      <c r="B252" s="1" t="s">
        <v>11</v>
      </c>
      <c r="C252" s="1" t="s">
        <v>35</v>
      </c>
      <c r="D252" s="5">
        <v>46176.208333333336</v>
      </c>
      <c r="E252" s="5">
        <v>46176.958333333336</v>
      </c>
      <c r="F252" s="6">
        <v>48.0</v>
      </c>
      <c r="G252" s="1" t="s">
        <v>14</v>
      </c>
      <c r="H252" s="7">
        <f t="shared" ref="H252:I252" si="253">DATE(MID(D252,7,4), MID(D252,4,2), LEFT(D252,2)) + TIMEVALUE(MID(D252,12,5))
</f>
        <v>46087.20833</v>
      </c>
      <c r="I252" s="7">
        <f t="shared" si="253"/>
        <v>46087.95833</v>
      </c>
      <c r="J252" s="4">
        <f t="shared" si="3"/>
        <v>18</v>
      </c>
      <c r="K252" s="4" t="str">
        <f t="shared" si="4"/>
        <v>Within SLA</v>
      </c>
    </row>
    <row r="253">
      <c r="A253" s="1" t="s">
        <v>538</v>
      </c>
      <c r="B253" s="1" t="s">
        <v>11</v>
      </c>
      <c r="C253" s="1" t="s">
        <v>19</v>
      </c>
      <c r="D253" s="5">
        <v>46298.375</v>
      </c>
      <c r="E253" s="5">
        <v>46359.041666666664</v>
      </c>
      <c r="F253" s="6">
        <v>24.0</v>
      </c>
      <c r="G253" s="1" t="s">
        <v>14</v>
      </c>
      <c r="H253" s="7">
        <f t="shared" ref="H253:I253" si="254">DATE(MID(D253,7,4), MID(D253,4,2), LEFT(D253,2)) + TIMEVALUE(MID(D253,12,5))
</f>
        <v>46091.375</v>
      </c>
      <c r="I253" s="7">
        <f t="shared" si="254"/>
        <v>46093.04167</v>
      </c>
      <c r="J253" s="4">
        <f t="shared" si="3"/>
        <v>40</v>
      </c>
      <c r="K253" s="4" t="str">
        <f t="shared" si="4"/>
        <v>Breached</v>
      </c>
    </row>
    <row r="254">
      <c r="A254" s="1" t="s">
        <v>539</v>
      </c>
      <c r="B254" s="1" t="s">
        <v>16</v>
      </c>
      <c r="C254" s="1" t="s">
        <v>12</v>
      </c>
      <c r="D254" s="6" t="s">
        <v>540</v>
      </c>
      <c r="E254" s="6" t="s">
        <v>541</v>
      </c>
      <c r="F254" s="6">
        <v>72.0</v>
      </c>
      <c r="G254" s="1" t="s">
        <v>14</v>
      </c>
      <c r="H254" s="7">
        <f t="shared" ref="H254:I254" si="255">DATE(MID(D254,7,4), MID(D254,4,2), LEFT(D254,2)) + TIMEVALUE(MID(D254,12,5))
</f>
        <v>46043.66667</v>
      </c>
      <c r="I254" s="7">
        <f t="shared" si="255"/>
        <v>46044.25</v>
      </c>
      <c r="J254" s="4">
        <f t="shared" si="3"/>
        <v>14</v>
      </c>
      <c r="K254" s="4" t="str">
        <f t="shared" si="4"/>
        <v>Within SLA</v>
      </c>
    </row>
    <row r="255">
      <c r="A255" s="1" t="s">
        <v>542</v>
      </c>
      <c r="B255" s="1" t="s">
        <v>18</v>
      </c>
      <c r="C255" s="1" t="s">
        <v>35</v>
      </c>
      <c r="D255" s="5">
        <v>46298.208333333336</v>
      </c>
      <c r="E255" s="6" t="s">
        <v>543</v>
      </c>
      <c r="F255" s="6">
        <v>48.0</v>
      </c>
      <c r="G255" s="1" t="s">
        <v>14</v>
      </c>
      <c r="H255" s="7">
        <f t="shared" ref="H255:I255" si="256">DATE(MID(D255,7,4), MID(D255,4,2), LEFT(D255,2)) + TIMEVALUE(MID(D255,12,5))
</f>
        <v>46091.20833</v>
      </c>
      <c r="I255" s="7">
        <f t="shared" si="256"/>
        <v>46094.79167</v>
      </c>
      <c r="J255" s="4">
        <f t="shared" si="3"/>
        <v>86</v>
      </c>
      <c r="K255" s="4" t="str">
        <f t="shared" si="4"/>
        <v>Breached</v>
      </c>
    </row>
    <row r="256">
      <c r="A256" s="1" t="s">
        <v>544</v>
      </c>
      <c r="B256" s="1" t="s">
        <v>11</v>
      </c>
      <c r="C256" s="1" t="s">
        <v>19</v>
      </c>
      <c r="D256" s="5">
        <v>46144.208333333336</v>
      </c>
      <c r="E256" s="5">
        <v>46236.208333333336</v>
      </c>
      <c r="F256" s="6">
        <v>24.0</v>
      </c>
      <c r="G256" s="1" t="s">
        <v>14</v>
      </c>
      <c r="H256" s="7">
        <f t="shared" ref="H256:I256" si="257">DATE(MID(D256,7,4), MID(D256,4,2), LEFT(D256,2)) + TIMEVALUE(MID(D256,12,5))
</f>
        <v>46058.20833</v>
      </c>
      <c r="I256" s="7">
        <f t="shared" si="257"/>
        <v>46061.20833</v>
      </c>
      <c r="J256" s="4">
        <f t="shared" si="3"/>
        <v>72</v>
      </c>
      <c r="K256" s="4" t="str">
        <f t="shared" si="4"/>
        <v>Breached</v>
      </c>
    </row>
    <row r="257">
      <c r="A257" s="1" t="s">
        <v>545</v>
      </c>
      <c r="B257" s="1" t="s">
        <v>16</v>
      </c>
      <c r="C257" s="1" t="s">
        <v>35</v>
      </c>
      <c r="D257" s="5">
        <v>46056.125</v>
      </c>
      <c r="E257" s="5">
        <v>46145.375</v>
      </c>
      <c r="F257" s="6">
        <v>48.0</v>
      </c>
      <c r="G257" s="1" t="s">
        <v>14</v>
      </c>
      <c r="H257" s="7">
        <f t="shared" ref="H257:I257" si="258">DATE(MID(D257,7,4), MID(D257,4,2), LEFT(D257,2)) + TIMEVALUE(MID(D257,12,5))
</f>
        <v>46083.125</v>
      </c>
      <c r="I257" s="7">
        <f t="shared" si="258"/>
        <v>46086.375</v>
      </c>
      <c r="J257" s="4">
        <f t="shared" si="3"/>
        <v>78</v>
      </c>
      <c r="K257" s="4" t="str">
        <f t="shared" si="4"/>
        <v>Breached</v>
      </c>
    </row>
    <row r="258">
      <c r="A258" s="1" t="s">
        <v>546</v>
      </c>
      <c r="B258" s="1" t="s">
        <v>18</v>
      </c>
      <c r="C258" s="1" t="s">
        <v>35</v>
      </c>
      <c r="D258" s="5">
        <v>46024.791666666664</v>
      </c>
      <c r="E258" s="5">
        <v>46083.958333333336</v>
      </c>
      <c r="F258" s="6">
        <v>48.0</v>
      </c>
      <c r="G258" s="1" t="s">
        <v>14</v>
      </c>
      <c r="H258" s="7">
        <f t="shared" ref="H258:I258" si="259">DATE(MID(D258,7,4), MID(D258,4,2), LEFT(D258,2)) + TIMEVALUE(MID(D258,12,5))
</f>
        <v>46054.79167</v>
      </c>
      <c r="I258" s="7">
        <f t="shared" si="259"/>
        <v>46056.95833</v>
      </c>
      <c r="J258" s="4">
        <f t="shared" si="3"/>
        <v>52</v>
      </c>
      <c r="K258" s="4" t="str">
        <f t="shared" si="4"/>
        <v>Breached</v>
      </c>
    </row>
    <row r="259">
      <c r="A259" s="1" t="s">
        <v>547</v>
      </c>
      <c r="B259" s="1" t="s">
        <v>34</v>
      </c>
      <c r="C259" s="1" t="s">
        <v>12</v>
      </c>
      <c r="D259" s="6" t="s">
        <v>548</v>
      </c>
      <c r="E259" s="6" t="s">
        <v>549</v>
      </c>
      <c r="F259" s="6">
        <v>72.0</v>
      </c>
      <c r="G259" s="1" t="s">
        <v>14</v>
      </c>
      <c r="H259" s="7">
        <f t="shared" ref="H259:I259" si="260">DATE(MID(D259,7,4), MID(D259,4,2), LEFT(D259,2)) + TIMEVALUE(MID(D259,12,5))
</f>
        <v>46103.29167</v>
      </c>
      <c r="I259" s="7">
        <f t="shared" si="260"/>
        <v>46107.20833</v>
      </c>
      <c r="J259" s="4">
        <f t="shared" si="3"/>
        <v>94</v>
      </c>
      <c r="K259" s="4" t="str">
        <f t="shared" si="4"/>
        <v>Breached</v>
      </c>
    </row>
    <row r="260">
      <c r="A260" s="1" t="s">
        <v>550</v>
      </c>
      <c r="B260" s="1" t="s">
        <v>34</v>
      </c>
      <c r="C260" s="1" t="s">
        <v>35</v>
      </c>
      <c r="D260" s="6" t="s">
        <v>551</v>
      </c>
      <c r="E260" s="6" t="s">
        <v>552</v>
      </c>
      <c r="F260" s="6">
        <v>48.0</v>
      </c>
      <c r="G260" s="1" t="s">
        <v>14</v>
      </c>
      <c r="H260" s="7">
        <f t="shared" ref="H260:I260" si="261">DATE(MID(D260,7,4), MID(D260,4,2), LEFT(D260,2)) + TIMEVALUE(MID(D260,12,5))
</f>
        <v>46068.83333</v>
      </c>
      <c r="I260" s="7">
        <f t="shared" si="261"/>
        <v>46071.95833</v>
      </c>
      <c r="J260" s="4">
        <f t="shared" si="3"/>
        <v>75</v>
      </c>
      <c r="K260" s="4" t="str">
        <f t="shared" si="4"/>
        <v>Breached</v>
      </c>
    </row>
    <row r="261">
      <c r="A261" s="1" t="s">
        <v>553</v>
      </c>
      <c r="B261" s="1" t="s">
        <v>11</v>
      </c>
      <c r="C261" s="1" t="s">
        <v>35</v>
      </c>
      <c r="D261" s="6" t="s">
        <v>554</v>
      </c>
      <c r="E261" s="6" t="s">
        <v>165</v>
      </c>
      <c r="F261" s="6">
        <v>48.0</v>
      </c>
      <c r="G261" s="1" t="s">
        <v>14</v>
      </c>
      <c r="H261" s="7">
        <f t="shared" ref="H261:I261" si="262">DATE(MID(D261,7,4), MID(D261,4,2), LEFT(D261,2)) + TIMEVALUE(MID(D261,12,5))
</f>
        <v>46096.625</v>
      </c>
      <c r="I261" s="7">
        <f t="shared" si="262"/>
        <v>46100.20833</v>
      </c>
      <c r="J261" s="4">
        <f t="shared" si="3"/>
        <v>86</v>
      </c>
      <c r="K261" s="4" t="str">
        <f t="shared" si="4"/>
        <v>Breached</v>
      </c>
    </row>
    <row r="262">
      <c r="A262" s="1" t="s">
        <v>555</v>
      </c>
      <c r="B262" s="1" t="s">
        <v>34</v>
      </c>
      <c r="C262" s="1" t="s">
        <v>19</v>
      </c>
      <c r="D262" s="5">
        <v>46267.958333333336</v>
      </c>
      <c r="E262" s="5">
        <v>46328.583333333336</v>
      </c>
      <c r="F262" s="6">
        <v>24.0</v>
      </c>
      <c r="G262" s="1" t="s">
        <v>14</v>
      </c>
      <c r="H262" s="7">
        <f t="shared" ref="H262:I262" si="263">DATE(MID(D262,7,4), MID(D262,4,2), LEFT(D262,2)) + TIMEVALUE(MID(D262,12,5))
</f>
        <v>46062.95833</v>
      </c>
      <c r="I262" s="7">
        <f t="shared" si="263"/>
        <v>46064.58333</v>
      </c>
      <c r="J262" s="4">
        <f t="shared" si="3"/>
        <v>39</v>
      </c>
      <c r="K262" s="4" t="str">
        <f t="shared" si="4"/>
        <v>Breached</v>
      </c>
    </row>
    <row r="263">
      <c r="A263" s="1" t="s">
        <v>556</v>
      </c>
      <c r="B263" s="1" t="s">
        <v>16</v>
      </c>
      <c r="C263" s="1" t="s">
        <v>12</v>
      </c>
      <c r="D263" s="6" t="s">
        <v>557</v>
      </c>
      <c r="E263" s="6" t="s">
        <v>558</v>
      </c>
      <c r="F263" s="6">
        <v>72.0</v>
      </c>
      <c r="G263" s="1" t="s">
        <v>14</v>
      </c>
      <c r="H263" s="7">
        <f t="shared" ref="H263:I263" si="264">DATE(MID(D263,7,4), MID(D263,4,2), LEFT(D263,2)) + TIMEVALUE(MID(D263,12,5))
</f>
        <v>46103.625</v>
      </c>
      <c r="I263" s="7">
        <f t="shared" si="264"/>
        <v>46107.25</v>
      </c>
      <c r="J263" s="4">
        <f t="shared" si="3"/>
        <v>87</v>
      </c>
      <c r="K263" s="4" t="str">
        <f t="shared" si="4"/>
        <v>Breached</v>
      </c>
    </row>
    <row r="264">
      <c r="A264" s="1" t="s">
        <v>559</v>
      </c>
      <c r="B264" s="1" t="s">
        <v>16</v>
      </c>
      <c r="C264" s="1" t="s">
        <v>19</v>
      </c>
      <c r="D264" s="6" t="s">
        <v>405</v>
      </c>
      <c r="E264" s="6" t="s">
        <v>139</v>
      </c>
      <c r="F264" s="6">
        <v>24.0</v>
      </c>
      <c r="G264" s="1" t="s">
        <v>14</v>
      </c>
      <c r="H264" s="7">
        <f t="shared" ref="H264:I264" si="265">DATE(MID(D264,7,4), MID(D264,4,2), LEFT(D264,2)) + TIMEVALUE(MID(D264,12,5))
</f>
        <v>46069.16667</v>
      </c>
      <c r="I264" s="7">
        <f t="shared" si="265"/>
        <v>46073</v>
      </c>
      <c r="J264" s="4">
        <f t="shared" si="3"/>
        <v>92</v>
      </c>
      <c r="K264" s="4" t="str">
        <f t="shared" si="4"/>
        <v>Breached</v>
      </c>
    </row>
    <row r="265">
      <c r="A265" s="1" t="s">
        <v>560</v>
      </c>
      <c r="B265" s="1" t="s">
        <v>18</v>
      </c>
      <c r="C265" s="1" t="s">
        <v>19</v>
      </c>
      <c r="D265" s="6" t="s">
        <v>561</v>
      </c>
      <c r="E265" s="6" t="s">
        <v>352</v>
      </c>
      <c r="F265" s="6">
        <v>24.0</v>
      </c>
      <c r="G265" s="1" t="s">
        <v>14</v>
      </c>
      <c r="H265" s="7">
        <f t="shared" ref="H265:I265" si="266">DATE(MID(D265,7,4), MID(D265,4,2), LEFT(D265,2)) + TIMEVALUE(MID(D265,12,5))
</f>
        <v>46042.41667</v>
      </c>
      <c r="I265" s="7">
        <f t="shared" si="266"/>
        <v>46045.45833</v>
      </c>
      <c r="J265" s="4">
        <f t="shared" si="3"/>
        <v>73</v>
      </c>
      <c r="K265" s="4" t="str">
        <f t="shared" si="4"/>
        <v>Breached</v>
      </c>
    </row>
    <row r="266">
      <c r="A266" s="1" t="s">
        <v>562</v>
      </c>
      <c r="B266" s="1" t="s">
        <v>11</v>
      </c>
      <c r="C266" s="1" t="s">
        <v>12</v>
      </c>
      <c r="D266" s="6" t="s">
        <v>563</v>
      </c>
      <c r="E266" s="6" t="s">
        <v>564</v>
      </c>
      <c r="F266" s="6">
        <v>72.0</v>
      </c>
      <c r="G266" s="1" t="s">
        <v>14</v>
      </c>
      <c r="H266" s="7">
        <f t="shared" ref="H266:I266" si="267">DATE(MID(D266,7,4), MID(D266,4,2), LEFT(D266,2)) + TIMEVALUE(MID(D266,12,5))
</f>
        <v>46078.45833</v>
      </c>
      <c r="I266" s="7">
        <f t="shared" si="267"/>
        <v>46079.25</v>
      </c>
      <c r="J266" s="4">
        <f t="shared" si="3"/>
        <v>19</v>
      </c>
      <c r="K266" s="4" t="str">
        <f t="shared" si="4"/>
        <v>Within SLA</v>
      </c>
    </row>
    <row r="267">
      <c r="A267" s="1" t="s">
        <v>565</v>
      </c>
      <c r="B267" s="1" t="s">
        <v>34</v>
      </c>
      <c r="C267" s="1" t="s">
        <v>12</v>
      </c>
      <c r="D267" s="6" t="s">
        <v>566</v>
      </c>
      <c r="E267" s="6" t="s">
        <v>567</v>
      </c>
      <c r="F267" s="6">
        <v>72.0</v>
      </c>
      <c r="G267" s="1" t="s">
        <v>14</v>
      </c>
      <c r="H267" s="7">
        <f t="shared" ref="H267:I267" si="268">DATE(MID(D267,7,4), MID(D267,4,2), LEFT(D267,2)) + TIMEVALUE(MID(D267,12,5))
</f>
        <v>46074.58333</v>
      </c>
      <c r="I267" s="7">
        <f t="shared" si="268"/>
        <v>46077.5</v>
      </c>
      <c r="J267" s="4">
        <f t="shared" si="3"/>
        <v>70</v>
      </c>
      <c r="K267" s="4" t="str">
        <f t="shared" si="4"/>
        <v>Within SLA</v>
      </c>
    </row>
    <row r="268">
      <c r="A268" s="1" t="s">
        <v>568</v>
      </c>
      <c r="B268" s="1" t="s">
        <v>34</v>
      </c>
      <c r="C268" s="1" t="s">
        <v>19</v>
      </c>
      <c r="D268" s="5">
        <v>46174.875</v>
      </c>
      <c r="E268" s="5">
        <v>46296.75</v>
      </c>
      <c r="F268" s="6">
        <v>24.0</v>
      </c>
      <c r="G268" s="1" t="s">
        <v>14</v>
      </c>
      <c r="H268" s="7">
        <f t="shared" ref="H268:I268" si="269">DATE(MID(D268,7,4), MID(D268,4,2), LEFT(D268,2)) + TIMEVALUE(MID(D268,12,5))
</f>
        <v>46028.875</v>
      </c>
      <c r="I268" s="7">
        <f t="shared" si="269"/>
        <v>46032.75</v>
      </c>
      <c r="J268" s="4">
        <f t="shared" si="3"/>
        <v>93</v>
      </c>
      <c r="K268" s="4" t="str">
        <f t="shared" si="4"/>
        <v>Breached</v>
      </c>
    </row>
    <row r="269">
      <c r="A269" s="1" t="s">
        <v>569</v>
      </c>
      <c r="B269" s="1" t="s">
        <v>11</v>
      </c>
      <c r="C269" s="1" t="s">
        <v>19</v>
      </c>
      <c r="D269" s="5">
        <v>46023.041666666664</v>
      </c>
      <c r="E269" s="5">
        <v>46113.875</v>
      </c>
      <c r="F269" s="6">
        <v>24.0</v>
      </c>
      <c r="G269" s="1" t="s">
        <v>14</v>
      </c>
      <c r="H269" s="7">
        <f t="shared" ref="H269:I269" si="270">DATE(MID(D269,7,4), MID(D269,4,2), LEFT(D269,2)) + TIMEVALUE(MID(D269,12,5))
</f>
        <v>46023.04167</v>
      </c>
      <c r="I269" s="7">
        <f t="shared" si="270"/>
        <v>46026.875</v>
      </c>
      <c r="J269" s="4">
        <f t="shared" si="3"/>
        <v>92</v>
      </c>
      <c r="K269" s="4" t="str">
        <f t="shared" si="4"/>
        <v>Breached</v>
      </c>
    </row>
    <row r="270">
      <c r="A270" s="1" t="s">
        <v>570</v>
      </c>
      <c r="B270" s="1" t="s">
        <v>34</v>
      </c>
      <c r="C270" s="1" t="s">
        <v>35</v>
      </c>
      <c r="D270" s="5">
        <v>46115.125</v>
      </c>
      <c r="E270" s="5">
        <v>46206.416666666664</v>
      </c>
      <c r="F270" s="6">
        <v>48.0</v>
      </c>
      <c r="G270" s="1" t="s">
        <v>14</v>
      </c>
      <c r="H270" s="7">
        <f t="shared" ref="H270:I270" si="271">DATE(MID(D270,7,4), MID(D270,4,2), LEFT(D270,2)) + TIMEVALUE(MID(D270,12,5))
</f>
        <v>46085.125</v>
      </c>
      <c r="I270" s="7">
        <f t="shared" si="271"/>
        <v>46088.41667</v>
      </c>
      <c r="J270" s="4">
        <f t="shared" si="3"/>
        <v>79</v>
      </c>
      <c r="K270" s="4" t="str">
        <f t="shared" si="4"/>
        <v>Breached</v>
      </c>
    </row>
    <row r="271">
      <c r="A271" s="1" t="s">
        <v>571</v>
      </c>
      <c r="B271" s="1" t="s">
        <v>11</v>
      </c>
      <c r="C271" s="1" t="s">
        <v>35</v>
      </c>
      <c r="D271" s="6" t="s">
        <v>572</v>
      </c>
      <c r="E271" s="5">
        <v>46056.75</v>
      </c>
      <c r="F271" s="6">
        <v>48.0</v>
      </c>
      <c r="G271" s="1" t="s">
        <v>14</v>
      </c>
      <c r="H271" s="7">
        <f t="shared" ref="H271:I271" si="272">DATE(MID(D271,7,4), MID(D271,4,2), LEFT(D271,2)) + TIMEVALUE(MID(D271,12,5))
</f>
        <v>46079.91667</v>
      </c>
      <c r="I271" s="7">
        <f t="shared" si="272"/>
        <v>46083.75</v>
      </c>
      <c r="J271" s="4">
        <f t="shared" si="3"/>
        <v>92</v>
      </c>
      <c r="K271" s="4" t="str">
        <f t="shared" si="4"/>
        <v>Breached</v>
      </c>
    </row>
    <row r="272">
      <c r="A272" s="1" t="s">
        <v>573</v>
      </c>
      <c r="B272" s="1" t="s">
        <v>34</v>
      </c>
      <c r="C272" s="1" t="s">
        <v>35</v>
      </c>
      <c r="D272" s="6" t="s">
        <v>574</v>
      </c>
      <c r="E272" s="6" t="s">
        <v>575</v>
      </c>
      <c r="F272" s="6">
        <v>48.0</v>
      </c>
      <c r="G272" s="1" t="s">
        <v>14</v>
      </c>
      <c r="H272" s="7">
        <f t="shared" ref="H272:I272" si="273">DATE(MID(D272,7,4), MID(D272,4,2), LEFT(D272,2)) + TIMEVALUE(MID(D272,12,5))
</f>
        <v>46073.33333</v>
      </c>
      <c r="I272" s="7">
        <f t="shared" si="273"/>
        <v>46076.125</v>
      </c>
      <c r="J272" s="4">
        <f t="shared" si="3"/>
        <v>67</v>
      </c>
      <c r="K272" s="4" t="str">
        <f t="shared" si="4"/>
        <v>Breached</v>
      </c>
    </row>
    <row r="273">
      <c r="A273" s="1" t="s">
        <v>576</v>
      </c>
      <c r="B273" s="1" t="s">
        <v>23</v>
      </c>
      <c r="C273" s="1" t="s">
        <v>35</v>
      </c>
      <c r="D273" s="5">
        <v>46143.0</v>
      </c>
      <c r="E273" s="5">
        <v>46235.5</v>
      </c>
      <c r="F273" s="6">
        <v>48.0</v>
      </c>
      <c r="G273" s="1" t="s">
        <v>14</v>
      </c>
      <c r="H273" s="7">
        <f t="shared" ref="H273:I273" si="274">DATE(MID(D273,7,4), MID(D273,4,2), LEFT(D273,2)) + TIMEVALUE(MID(D273,12,5))
</f>
        <v>46027</v>
      </c>
      <c r="I273" s="7">
        <f t="shared" si="274"/>
        <v>46030.5</v>
      </c>
      <c r="J273" s="4">
        <f t="shared" si="3"/>
        <v>84</v>
      </c>
      <c r="K273" s="4" t="str">
        <f t="shared" si="4"/>
        <v>Breached</v>
      </c>
    </row>
    <row r="274">
      <c r="A274" s="1" t="s">
        <v>577</v>
      </c>
      <c r="B274" s="1" t="s">
        <v>23</v>
      </c>
      <c r="C274" s="1" t="s">
        <v>35</v>
      </c>
      <c r="D274" s="5">
        <v>46083.375</v>
      </c>
      <c r="E274" s="5">
        <v>46175.25</v>
      </c>
      <c r="F274" s="6">
        <v>48.0</v>
      </c>
      <c r="G274" s="1" t="s">
        <v>14</v>
      </c>
      <c r="H274" s="7">
        <f t="shared" ref="H274:I274" si="275">DATE(MID(D274,7,4), MID(D274,4,2), LEFT(D274,2)) + TIMEVALUE(MID(D274,12,5))
</f>
        <v>46056.375</v>
      </c>
      <c r="I274" s="7">
        <f t="shared" si="275"/>
        <v>46059.25</v>
      </c>
      <c r="J274" s="4">
        <f t="shared" si="3"/>
        <v>69</v>
      </c>
      <c r="K274" s="4" t="str">
        <f t="shared" si="4"/>
        <v>Breached</v>
      </c>
    </row>
    <row r="275">
      <c r="A275" s="1" t="s">
        <v>578</v>
      </c>
      <c r="B275" s="1" t="s">
        <v>23</v>
      </c>
      <c r="C275" s="1" t="s">
        <v>35</v>
      </c>
      <c r="D275" s="6" t="s">
        <v>579</v>
      </c>
      <c r="E275" s="5">
        <v>46024.25</v>
      </c>
      <c r="F275" s="6">
        <v>48.0</v>
      </c>
      <c r="G275" s="1" t="s">
        <v>14</v>
      </c>
      <c r="H275" s="7">
        <f t="shared" ref="H275:I275" si="276">DATE(MID(D275,7,4), MID(D275,4,2), LEFT(D275,2)) + TIMEVALUE(MID(D275,12,5))
</f>
        <v>46053.375</v>
      </c>
      <c r="I275" s="7">
        <f t="shared" si="276"/>
        <v>46054.25</v>
      </c>
      <c r="J275" s="4">
        <f t="shared" si="3"/>
        <v>21</v>
      </c>
      <c r="K275" s="4" t="str">
        <f t="shared" si="4"/>
        <v>Within SLA</v>
      </c>
    </row>
    <row r="276">
      <c r="A276" s="1" t="s">
        <v>580</v>
      </c>
      <c r="B276" s="1" t="s">
        <v>23</v>
      </c>
      <c r="C276" s="1" t="s">
        <v>12</v>
      </c>
      <c r="D276" s="6" t="s">
        <v>581</v>
      </c>
      <c r="E276" s="6" t="s">
        <v>582</v>
      </c>
      <c r="F276" s="6">
        <v>72.0</v>
      </c>
      <c r="G276" s="1" t="s">
        <v>14</v>
      </c>
      <c r="H276" s="7">
        <f t="shared" ref="H276:I276" si="277">DATE(MID(D276,7,4), MID(D276,4,2), LEFT(D276,2)) + TIMEVALUE(MID(D276,12,5))
</f>
        <v>46101.58333</v>
      </c>
      <c r="I276" s="7">
        <f t="shared" si="277"/>
        <v>46105.25</v>
      </c>
      <c r="J276" s="4">
        <f t="shared" si="3"/>
        <v>88</v>
      </c>
      <c r="K276" s="4" t="str">
        <f t="shared" si="4"/>
        <v>Breached</v>
      </c>
    </row>
    <row r="277">
      <c r="A277" s="1" t="s">
        <v>583</v>
      </c>
      <c r="B277" s="1" t="s">
        <v>16</v>
      </c>
      <c r="C277" s="1" t="s">
        <v>12</v>
      </c>
      <c r="D277" s="5">
        <v>46236.625</v>
      </c>
      <c r="E277" s="5">
        <v>46358.416666666664</v>
      </c>
      <c r="F277" s="6">
        <v>72.0</v>
      </c>
      <c r="G277" s="1" t="s">
        <v>14</v>
      </c>
      <c r="H277" s="7">
        <f t="shared" ref="H277:I277" si="278">DATE(MID(D277,7,4), MID(D277,4,2), LEFT(D277,2)) + TIMEVALUE(MID(D277,12,5))
</f>
        <v>46061.625</v>
      </c>
      <c r="I277" s="7">
        <f t="shared" si="278"/>
        <v>46065.41667</v>
      </c>
      <c r="J277" s="4">
        <f t="shared" si="3"/>
        <v>91</v>
      </c>
      <c r="K277" s="4" t="str">
        <f t="shared" si="4"/>
        <v>Breached</v>
      </c>
    </row>
    <row r="278">
      <c r="A278" s="1" t="s">
        <v>584</v>
      </c>
      <c r="B278" s="1" t="s">
        <v>34</v>
      </c>
      <c r="C278" s="1" t="s">
        <v>35</v>
      </c>
      <c r="D278" s="5">
        <v>46328.708333333336</v>
      </c>
      <c r="E278" s="5">
        <v>46358.833333333336</v>
      </c>
      <c r="F278" s="6">
        <v>48.0</v>
      </c>
      <c r="G278" s="1" t="s">
        <v>14</v>
      </c>
      <c r="H278" s="7">
        <f t="shared" ref="H278:I278" si="279">DATE(MID(D278,7,4), MID(D278,4,2), LEFT(D278,2)) + TIMEVALUE(MID(D278,12,5))
</f>
        <v>46064.70833</v>
      </c>
      <c r="I278" s="7">
        <f t="shared" si="279"/>
        <v>46065.83333</v>
      </c>
      <c r="J278" s="4">
        <f t="shared" si="3"/>
        <v>27</v>
      </c>
      <c r="K278" s="4" t="str">
        <f t="shared" si="4"/>
        <v>Within SLA</v>
      </c>
    </row>
    <row r="279">
      <c r="A279" s="1" t="s">
        <v>585</v>
      </c>
      <c r="B279" s="1" t="s">
        <v>34</v>
      </c>
      <c r="C279" s="1" t="s">
        <v>35</v>
      </c>
      <c r="D279" s="6" t="s">
        <v>586</v>
      </c>
      <c r="E279" s="6" t="s">
        <v>392</v>
      </c>
      <c r="F279" s="6">
        <v>48.0</v>
      </c>
      <c r="G279" s="1" t="s">
        <v>14</v>
      </c>
      <c r="H279" s="7">
        <f t="shared" ref="H279:I279" si="280">DATE(MID(D279,7,4), MID(D279,4,2), LEFT(D279,2)) + TIMEVALUE(MID(D279,12,5))
</f>
        <v>46038</v>
      </c>
      <c r="I279" s="7">
        <f t="shared" si="280"/>
        <v>46041.375</v>
      </c>
      <c r="J279" s="4">
        <f t="shared" si="3"/>
        <v>81</v>
      </c>
      <c r="K279" s="4" t="str">
        <f t="shared" si="4"/>
        <v>Breached</v>
      </c>
    </row>
    <row r="280">
      <c r="A280" s="1" t="s">
        <v>587</v>
      </c>
      <c r="B280" s="1" t="s">
        <v>18</v>
      </c>
      <c r="C280" s="1" t="s">
        <v>19</v>
      </c>
      <c r="D280" s="5">
        <v>46145.0</v>
      </c>
      <c r="E280" s="5">
        <v>46176.25</v>
      </c>
      <c r="F280" s="6">
        <v>24.0</v>
      </c>
      <c r="G280" s="1" t="s">
        <v>14</v>
      </c>
      <c r="H280" s="7">
        <f t="shared" ref="H280:I280" si="281">DATE(MID(D280,7,4), MID(D280,4,2), LEFT(D280,2)) + TIMEVALUE(MID(D280,12,5))
</f>
        <v>46086</v>
      </c>
      <c r="I280" s="7">
        <f t="shared" si="281"/>
        <v>46087.25</v>
      </c>
      <c r="J280" s="4">
        <f t="shared" si="3"/>
        <v>30</v>
      </c>
      <c r="K280" s="4" t="str">
        <f t="shared" si="4"/>
        <v>Breached</v>
      </c>
    </row>
    <row r="281">
      <c r="A281" s="1" t="s">
        <v>588</v>
      </c>
      <c r="B281" s="1" t="s">
        <v>23</v>
      </c>
      <c r="C281" s="1" t="s">
        <v>12</v>
      </c>
      <c r="D281" s="5">
        <v>46143.0</v>
      </c>
      <c r="E281" s="5">
        <v>46204.0</v>
      </c>
      <c r="F281" s="6">
        <v>72.0</v>
      </c>
      <c r="G281" s="1" t="s">
        <v>14</v>
      </c>
      <c r="H281" s="7">
        <f t="shared" ref="H281:I281" si="282">DATE(MID(D281,7,4), MID(D281,4,2), LEFT(D281,2)) + TIMEVALUE(MID(D281,12,5))
</f>
        <v>46027</v>
      </c>
      <c r="I281" s="7">
        <f t="shared" si="282"/>
        <v>46029</v>
      </c>
      <c r="J281" s="4">
        <f t="shared" si="3"/>
        <v>48</v>
      </c>
      <c r="K281" s="4" t="str">
        <f t="shared" si="4"/>
        <v>Within SLA</v>
      </c>
    </row>
    <row r="282">
      <c r="A282" s="1" t="s">
        <v>589</v>
      </c>
      <c r="B282" s="1" t="s">
        <v>11</v>
      </c>
      <c r="C282" s="1" t="s">
        <v>12</v>
      </c>
      <c r="D282" s="5">
        <v>46205.458333333336</v>
      </c>
      <c r="E282" s="5">
        <v>46328.208333333336</v>
      </c>
      <c r="F282" s="6">
        <v>72.0</v>
      </c>
      <c r="G282" s="1" t="s">
        <v>14</v>
      </c>
      <c r="H282" s="7">
        <f t="shared" ref="H282:I282" si="283">DATE(MID(D282,7,4), MID(D282,4,2), LEFT(D282,2)) + TIMEVALUE(MID(D282,12,5))
</f>
        <v>46060.45833</v>
      </c>
      <c r="I282" s="7">
        <f t="shared" si="283"/>
        <v>46064.20833</v>
      </c>
      <c r="J282" s="4">
        <f t="shared" si="3"/>
        <v>90</v>
      </c>
      <c r="K282" s="4" t="str">
        <f t="shared" si="4"/>
        <v>Breached</v>
      </c>
    </row>
    <row r="283">
      <c r="A283" s="1" t="s">
        <v>590</v>
      </c>
      <c r="B283" s="1" t="s">
        <v>11</v>
      </c>
      <c r="C283" s="1" t="s">
        <v>12</v>
      </c>
      <c r="D283" s="6" t="s">
        <v>591</v>
      </c>
      <c r="E283" s="6" t="s">
        <v>592</v>
      </c>
      <c r="F283" s="6">
        <v>72.0</v>
      </c>
      <c r="G283" s="1" t="s">
        <v>14</v>
      </c>
      <c r="H283" s="7">
        <f t="shared" ref="H283:I283" si="284">DATE(MID(D283,7,4), MID(D283,4,2), LEFT(D283,2)) + TIMEVALUE(MID(D283,12,5))
</f>
        <v>46049.375</v>
      </c>
      <c r="I283" s="7">
        <f t="shared" si="284"/>
        <v>46050.875</v>
      </c>
      <c r="J283" s="4">
        <f t="shared" si="3"/>
        <v>36</v>
      </c>
      <c r="K283" s="4" t="str">
        <f t="shared" si="4"/>
        <v>Within SLA</v>
      </c>
    </row>
    <row r="284">
      <c r="A284" s="1" t="s">
        <v>593</v>
      </c>
      <c r="B284" s="1" t="s">
        <v>11</v>
      </c>
      <c r="C284" s="1" t="s">
        <v>12</v>
      </c>
      <c r="D284" s="5">
        <v>46145.125</v>
      </c>
      <c r="E284" s="5">
        <v>46176.875</v>
      </c>
      <c r="F284" s="6">
        <v>72.0</v>
      </c>
      <c r="G284" s="1" t="s">
        <v>14</v>
      </c>
      <c r="H284" s="7">
        <f t="shared" ref="H284:I284" si="285">DATE(MID(D284,7,4), MID(D284,4,2), LEFT(D284,2)) + TIMEVALUE(MID(D284,12,5))
</f>
        <v>46086.125</v>
      </c>
      <c r="I284" s="7">
        <f t="shared" si="285"/>
        <v>46087.875</v>
      </c>
      <c r="J284" s="4">
        <f t="shared" si="3"/>
        <v>42</v>
      </c>
      <c r="K284" s="4" t="str">
        <f t="shared" si="4"/>
        <v>Within SLA</v>
      </c>
    </row>
    <row r="285">
      <c r="A285" s="1" t="s">
        <v>594</v>
      </c>
      <c r="B285" s="1" t="s">
        <v>11</v>
      </c>
      <c r="C285" s="1" t="s">
        <v>12</v>
      </c>
      <c r="D285" s="6" t="s">
        <v>445</v>
      </c>
      <c r="E285" s="6" t="s">
        <v>595</v>
      </c>
      <c r="F285" s="6">
        <v>72.0</v>
      </c>
      <c r="G285" s="1" t="s">
        <v>14</v>
      </c>
      <c r="H285" s="7">
        <f t="shared" ref="H285:I285" si="286">DATE(MID(D285,7,4), MID(D285,4,2), LEFT(D285,2)) + TIMEVALUE(MID(D285,12,5))
</f>
        <v>46044.29167</v>
      </c>
      <c r="I285" s="7">
        <f t="shared" si="286"/>
        <v>46046.58333</v>
      </c>
      <c r="J285" s="4">
        <f t="shared" si="3"/>
        <v>55</v>
      </c>
      <c r="K285" s="4" t="str">
        <f t="shared" si="4"/>
        <v>Within SLA</v>
      </c>
    </row>
    <row r="286">
      <c r="A286" s="1" t="s">
        <v>596</v>
      </c>
      <c r="B286" s="1" t="s">
        <v>23</v>
      </c>
      <c r="C286" s="1" t="s">
        <v>12</v>
      </c>
      <c r="D286" s="5">
        <v>46266.5</v>
      </c>
      <c r="E286" s="5">
        <v>46327.958333333336</v>
      </c>
      <c r="F286" s="6">
        <v>72.0</v>
      </c>
      <c r="G286" s="1" t="s">
        <v>14</v>
      </c>
      <c r="H286" s="7">
        <f t="shared" ref="H286:I286" si="287">DATE(MID(D286,7,4), MID(D286,4,2), LEFT(D286,2)) + TIMEVALUE(MID(D286,12,5))
</f>
        <v>46031.5</v>
      </c>
      <c r="I286" s="7">
        <f t="shared" si="287"/>
        <v>46033.95833</v>
      </c>
      <c r="J286" s="4">
        <f t="shared" si="3"/>
        <v>59</v>
      </c>
      <c r="K286" s="4" t="str">
        <f t="shared" si="4"/>
        <v>Within SLA</v>
      </c>
    </row>
    <row r="287">
      <c r="A287" s="1" t="s">
        <v>597</v>
      </c>
      <c r="B287" s="1" t="s">
        <v>11</v>
      </c>
      <c r="C287" s="1" t="s">
        <v>19</v>
      </c>
      <c r="D287" s="5">
        <v>46055.666666666664</v>
      </c>
      <c r="E287" s="5">
        <v>46144.541666666664</v>
      </c>
      <c r="F287" s="6">
        <v>24.0</v>
      </c>
      <c r="G287" s="1" t="s">
        <v>14</v>
      </c>
      <c r="H287" s="7">
        <f t="shared" ref="H287:I287" si="288">DATE(MID(D287,7,4), MID(D287,4,2), LEFT(D287,2)) + TIMEVALUE(MID(D287,12,5))
</f>
        <v>46055.66667</v>
      </c>
      <c r="I287" s="7">
        <f t="shared" si="288"/>
        <v>46058.54167</v>
      </c>
      <c r="J287" s="4">
        <f t="shared" si="3"/>
        <v>69</v>
      </c>
      <c r="K287" s="4" t="str">
        <f t="shared" si="4"/>
        <v>Breached</v>
      </c>
    </row>
    <row r="288">
      <c r="A288" s="1" t="s">
        <v>598</v>
      </c>
      <c r="B288" s="1" t="s">
        <v>11</v>
      </c>
      <c r="C288" s="1" t="s">
        <v>19</v>
      </c>
      <c r="D288" s="5">
        <v>46268.708333333336</v>
      </c>
      <c r="E288" s="5">
        <v>46329.416666666664</v>
      </c>
      <c r="F288" s="6">
        <v>24.0</v>
      </c>
      <c r="G288" s="1" t="s">
        <v>14</v>
      </c>
      <c r="H288" s="7">
        <f t="shared" ref="H288:I288" si="289">DATE(MID(D288,7,4), MID(D288,4,2), LEFT(D288,2)) + TIMEVALUE(MID(D288,12,5))
</f>
        <v>46090.70833</v>
      </c>
      <c r="I288" s="7">
        <f t="shared" si="289"/>
        <v>46092.41667</v>
      </c>
      <c r="J288" s="4">
        <f t="shared" si="3"/>
        <v>41</v>
      </c>
      <c r="K288" s="4" t="str">
        <f t="shared" si="4"/>
        <v>Breached</v>
      </c>
    </row>
    <row r="289">
      <c r="A289" s="1" t="s">
        <v>599</v>
      </c>
      <c r="B289" s="1" t="s">
        <v>11</v>
      </c>
      <c r="C289" s="1" t="s">
        <v>35</v>
      </c>
      <c r="D289" s="6" t="s">
        <v>600</v>
      </c>
      <c r="E289" s="6" t="s">
        <v>601</v>
      </c>
      <c r="F289" s="6">
        <v>48.0</v>
      </c>
      <c r="G289" s="1" t="s">
        <v>14</v>
      </c>
      <c r="H289" s="7">
        <f t="shared" ref="H289:I289" si="290">DATE(MID(D289,7,4), MID(D289,4,2), LEFT(D289,2)) + TIMEVALUE(MID(D289,12,5))
</f>
        <v>46044</v>
      </c>
      <c r="I289" s="7">
        <f t="shared" si="290"/>
        <v>46045.04167</v>
      </c>
      <c r="J289" s="4">
        <f t="shared" si="3"/>
        <v>25</v>
      </c>
      <c r="K289" s="4" t="str">
        <f t="shared" si="4"/>
        <v>Within SLA</v>
      </c>
    </row>
    <row r="290">
      <c r="A290" s="1" t="s">
        <v>602</v>
      </c>
      <c r="B290" s="1" t="s">
        <v>18</v>
      </c>
      <c r="C290" s="1" t="s">
        <v>19</v>
      </c>
      <c r="D290" s="6" t="s">
        <v>603</v>
      </c>
      <c r="E290" s="6" t="s">
        <v>604</v>
      </c>
      <c r="F290" s="6">
        <v>24.0</v>
      </c>
      <c r="G290" s="1" t="s">
        <v>14</v>
      </c>
      <c r="H290" s="7">
        <f t="shared" ref="H290:I290" si="291">DATE(MID(D290,7,4), MID(D290,4,2), LEFT(D290,2)) + TIMEVALUE(MID(D290,12,5))
</f>
        <v>46036.66667</v>
      </c>
      <c r="I290" s="7">
        <f t="shared" si="291"/>
        <v>46037.45833</v>
      </c>
      <c r="J290" s="4">
        <f t="shared" si="3"/>
        <v>19</v>
      </c>
      <c r="K290" s="4" t="str">
        <f t="shared" si="4"/>
        <v>Within SLA</v>
      </c>
    </row>
    <row r="291">
      <c r="A291" s="1" t="s">
        <v>605</v>
      </c>
      <c r="B291" s="1" t="s">
        <v>23</v>
      </c>
      <c r="C291" s="1" t="s">
        <v>19</v>
      </c>
      <c r="D291" s="6" t="s">
        <v>452</v>
      </c>
      <c r="E291" s="6" t="s">
        <v>606</v>
      </c>
      <c r="F291" s="6">
        <v>24.0</v>
      </c>
      <c r="G291" s="1" t="s">
        <v>14</v>
      </c>
      <c r="H291" s="7">
        <f t="shared" ref="H291:I291" si="292">DATE(MID(D291,7,4), MID(D291,4,2), LEFT(D291,2)) + TIMEVALUE(MID(D291,12,5))
</f>
        <v>46045.25</v>
      </c>
      <c r="I291" s="7">
        <f t="shared" si="292"/>
        <v>46046.79167</v>
      </c>
      <c r="J291" s="4">
        <f t="shared" si="3"/>
        <v>37</v>
      </c>
      <c r="K291" s="4" t="str">
        <f t="shared" si="4"/>
        <v>Breached</v>
      </c>
    </row>
    <row r="292">
      <c r="A292" s="1" t="s">
        <v>607</v>
      </c>
      <c r="B292" s="1" t="s">
        <v>16</v>
      </c>
      <c r="C292" s="1" t="s">
        <v>19</v>
      </c>
      <c r="D292" s="5">
        <v>46084.5</v>
      </c>
      <c r="E292" s="5">
        <v>46176.208333333336</v>
      </c>
      <c r="F292" s="6">
        <v>24.0</v>
      </c>
      <c r="G292" s="1" t="s">
        <v>14</v>
      </c>
      <c r="H292" s="7">
        <f t="shared" ref="H292:I292" si="293">DATE(MID(D292,7,4), MID(D292,4,2), LEFT(D292,2)) + TIMEVALUE(MID(D292,12,5))
</f>
        <v>46084.5</v>
      </c>
      <c r="I292" s="7">
        <f t="shared" si="293"/>
        <v>46087.20833</v>
      </c>
      <c r="J292" s="4">
        <f t="shared" si="3"/>
        <v>65</v>
      </c>
      <c r="K292" s="4" t="str">
        <f t="shared" si="4"/>
        <v>Breached</v>
      </c>
    </row>
    <row r="293">
      <c r="A293" s="1" t="s">
        <v>608</v>
      </c>
      <c r="B293" s="1" t="s">
        <v>18</v>
      </c>
      <c r="C293" s="1" t="s">
        <v>12</v>
      </c>
      <c r="D293" s="6" t="s">
        <v>401</v>
      </c>
      <c r="E293" s="6" t="s">
        <v>522</v>
      </c>
      <c r="F293" s="6">
        <v>72.0</v>
      </c>
      <c r="G293" s="1" t="s">
        <v>14</v>
      </c>
      <c r="H293" s="7">
        <f t="shared" ref="H293:I293" si="294">DATE(MID(D293,7,4), MID(D293,4,2), LEFT(D293,2)) + TIMEVALUE(MID(D293,12,5))
</f>
        <v>46051.08333</v>
      </c>
      <c r="I293" s="7">
        <f t="shared" si="294"/>
        <v>46052.08333</v>
      </c>
      <c r="J293" s="4">
        <f t="shared" si="3"/>
        <v>24</v>
      </c>
      <c r="K293" s="4" t="str">
        <f t="shared" si="4"/>
        <v>Within SLA</v>
      </c>
    </row>
    <row r="294">
      <c r="A294" s="1" t="s">
        <v>609</v>
      </c>
      <c r="B294" s="1" t="s">
        <v>16</v>
      </c>
      <c r="C294" s="1" t="s">
        <v>19</v>
      </c>
      <c r="D294" s="5">
        <v>46235.083333333336</v>
      </c>
      <c r="E294" s="5">
        <v>46327.583333333336</v>
      </c>
      <c r="F294" s="6">
        <v>24.0</v>
      </c>
      <c r="G294" s="1" t="s">
        <v>14</v>
      </c>
      <c r="H294" s="7">
        <f t="shared" ref="H294:I294" si="295">DATE(MID(D294,7,4), MID(D294,4,2), LEFT(D294,2)) + TIMEVALUE(MID(D294,12,5))
</f>
        <v>46030.08333</v>
      </c>
      <c r="I294" s="7">
        <f t="shared" si="295"/>
        <v>46033.58333</v>
      </c>
      <c r="J294" s="4">
        <f t="shared" si="3"/>
        <v>84</v>
      </c>
      <c r="K294" s="4" t="str">
        <f t="shared" si="4"/>
        <v>Breached</v>
      </c>
    </row>
    <row r="295">
      <c r="A295" s="1" t="s">
        <v>610</v>
      </c>
      <c r="B295" s="1" t="s">
        <v>34</v>
      </c>
      <c r="C295" s="1" t="s">
        <v>12</v>
      </c>
      <c r="D295" s="5">
        <v>46084.041666666664</v>
      </c>
      <c r="E295" s="5">
        <v>46145.125</v>
      </c>
      <c r="F295" s="6">
        <v>72.0</v>
      </c>
      <c r="G295" s="1" t="s">
        <v>14</v>
      </c>
      <c r="H295" s="7">
        <f t="shared" ref="H295:I295" si="296">DATE(MID(D295,7,4), MID(D295,4,2), LEFT(D295,2)) + TIMEVALUE(MID(D295,12,5))
</f>
        <v>46084.04167</v>
      </c>
      <c r="I295" s="7">
        <f t="shared" si="296"/>
        <v>46086.125</v>
      </c>
      <c r="J295" s="4">
        <f t="shared" si="3"/>
        <v>50</v>
      </c>
      <c r="K295" s="4" t="str">
        <f t="shared" si="4"/>
        <v>Within SLA</v>
      </c>
    </row>
    <row r="296">
      <c r="A296" s="1" t="s">
        <v>611</v>
      </c>
      <c r="B296" s="1" t="s">
        <v>23</v>
      </c>
      <c r="C296" s="1" t="s">
        <v>12</v>
      </c>
      <c r="D296" s="6" t="s">
        <v>612</v>
      </c>
      <c r="E296" s="6" t="s">
        <v>613</v>
      </c>
      <c r="F296" s="6">
        <v>72.0</v>
      </c>
      <c r="G296" s="1" t="s">
        <v>14</v>
      </c>
      <c r="H296" s="7">
        <f t="shared" ref="H296:I296" si="297">DATE(MID(D296,7,4), MID(D296,4,2), LEFT(D296,2)) + TIMEVALUE(MID(D296,12,5))
</f>
        <v>46050.58333</v>
      </c>
      <c r="I296" s="7">
        <f t="shared" si="297"/>
        <v>46051.29167</v>
      </c>
      <c r="J296" s="4">
        <f t="shared" si="3"/>
        <v>17</v>
      </c>
      <c r="K296" s="4" t="str">
        <f t="shared" si="4"/>
        <v>Within SLA</v>
      </c>
    </row>
    <row r="297">
      <c r="A297" s="1" t="s">
        <v>614</v>
      </c>
      <c r="B297" s="1" t="s">
        <v>23</v>
      </c>
      <c r="C297" s="1" t="s">
        <v>19</v>
      </c>
      <c r="D297" s="6" t="s">
        <v>615</v>
      </c>
      <c r="E297" s="6" t="s">
        <v>616</v>
      </c>
      <c r="F297" s="6">
        <v>24.0</v>
      </c>
      <c r="G297" s="1" t="s">
        <v>14</v>
      </c>
      <c r="H297" s="7">
        <f t="shared" ref="H297:I297" si="298">DATE(MID(D297,7,4), MID(D297,4,2), LEFT(D297,2)) + TIMEVALUE(MID(D297,12,5))
</f>
        <v>46103.91667</v>
      </c>
      <c r="I297" s="7">
        <f t="shared" si="298"/>
        <v>46106.875</v>
      </c>
      <c r="J297" s="4">
        <f t="shared" si="3"/>
        <v>71</v>
      </c>
      <c r="K297" s="4" t="str">
        <f t="shared" si="4"/>
        <v>Breached</v>
      </c>
    </row>
    <row r="298">
      <c r="A298" s="1" t="s">
        <v>617</v>
      </c>
      <c r="B298" s="1" t="s">
        <v>11</v>
      </c>
      <c r="C298" s="1" t="s">
        <v>12</v>
      </c>
      <c r="D298" s="6" t="s">
        <v>618</v>
      </c>
      <c r="E298" s="6" t="s">
        <v>619</v>
      </c>
      <c r="F298" s="6">
        <v>72.0</v>
      </c>
      <c r="G298" s="1" t="s">
        <v>14</v>
      </c>
      <c r="H298" s="7">
        <f t="shared" ref="H298:I298" si="299">DATE(MID(D298,7,4), MID(D298,4,2), LEFT(D298,2)) + TIMEVALUE(MID(D298,12,5))
</f>
        <v>46046.20833</v>
      </c>
      <c r="I298" s="7">
        <f t="shared" si="299"/>
        <v>46048.125</v>
      </c>
      <c r="J298" s="4">
        <f t="shared" si="3"/>
        <v>46</v>
      </c>
      <c r="K298" s="4" t="str">
        <f t="shared" si="4"/>
        <v>Within SLA</v>
      </c>
    </row>
    <row r="299">
      <c r="A299" s="1" t="s">
        <v>620</v>
      </c>
      <c r="B299" s="1" t="s">
        <v>34</v>
      </c>
      <c r="C299" s="1" t="s">
        <v>12</v>
      </c>
      <c r="D299" s="5">
        <v>46145.208333333336</v>
      </c>
      <c r="E299" s="5">
        <v>46176.791666666664</v>
      </c>
      <c r="F299" s="6">
        <v>72.0</v>
      </c>
      <c r="G299" s="1" t="s">
        <v>14</v>
      </c>
      <c r="H299" s="7">
        <f t="shared" ref="H299:I299" si="300">DATE(MID(D299,7,4), MID(D299,4,2), LEFT(D299,2)) + TIMEVALUE(MID(D299,12,5))
</f>
        <v>46086.20833</v>
      </c>
      <c r="I299" s="7">
        <f t="shared" si="300"/>
        <v>46087.79167</v>
      </c>
      <c r="J299" s="4">
        <f t="shared" si="3"/>
        <v>38</v>
      </c>
      <c r="K299" s="4" t="str">
        <f t="shared" si="4"/>
        <v>Within SLA</v>
      </c>
    </row>
    <row r="300">
      <c r="A300" s="1" t="s">
        <v>621</v>
      </c>
      <c r="B300" s="1" t="s">
        <v>23</v>
      </c>
      <c r="C300" s="1" t="s">
        <v>35</v>
      </c>
      <c r="D300" s="5">
        <v>46204.041666666664</v>
      </c>
      <c r="E300" s="5">
        <v>46235.458333333336</v>
      </c>
      <c r="F300" s="6">
        <v>48.0</v>
      </c>
      <c r="G300" s="1" t="s">
        <v>14</v>
      </c>
      <c r="H300" s="7">
        <f t="shared" ref="H300:I300" si="301">DATE(MID(D300,7,4), MID(D300,4,2), LEFT(D300,2)) + TIMEVALUE(MID(D300,12,5))
</f>
        <v>46029.04167</v>
      </c>
      <c r="I300" s="7">
        <f t="shared" si="301"/>
        <v>46030.45833</v>
      </c>
      <c r="J300" s="4">
        <f t="shared" si="3"/>
        <v>34</v>
      </c>
      <c r="K300" s="4" t="str">
        <f t="shared" si="4"/>
        <v>Within SLA</v>
      </c>
    </row>
    <row r="301">
      <c r="A301" s="1" t="s">
        <v>622</v>
      </c>
      <c r="B301" s="1" t="s">
        <v>23</v>
      </c>
      <c r="C301" s="1" t="s">
        <v>19</v>
      </c>
      <c r="D301" s="5">
        <v>46145.125</v>
      </c>
      <c r="E301" s="5">
        <v>46237.666666666664</v>
      </c>
      <c r="F301" s="6">
        <v>24.0</v>
      </c>
      <c r="G301" s="1" t="s">
        <v>14</v>
      </c>
      <c r="H301" s="7">
        <f t="shared" ref="H301:I301" si="302">DATE(MID(D301,7,4), MID(D301,4,2), LEFT(D301,2)) + TIMEVALUE(MID(D301,12,5))
</f>
        <v>46086.125</v>
      </c>
      <c r="I301" s="7">
        <f t="shared" si="302"/>
        <v>46089.66667</v>
      </c>
      <c r="J301" s="4">
        <f t="shared" si="3"/>
        <v>85</v>
      </c>
      <c r="K301" s="4" t="str">
        <f t="shared" si="4"/>
        <v>Breached</v>
      </c>
    </row>
    <row r="302">
      <c r="A302" s="1" t="s">
        <v>623</v>
      </c>
      <c r="B302" s="1" t="s">
        <v>11</v>
      </c>
      <c r="C302" s="1" t="s">
        <v>12</v>
      </c>
      <c r="D302" s="5">
        <v>46082.708333333336</v>
      </c>
      <c r="E302" s="5">
        <v>46174.0</v>
      </c>
      <c r="F302" s="6">
        <v>72.0</v>
      </c>
      <c r="G302" s="1" t="s">
        <v>14</v>
      </c>
      <c r="H302" s="7">
        <f t="shared" ref="H302:I302" si="303">DATE(MID(D302,7,4), MID(D302,4,2), LEFT(D302,2)) + TIMEVALUE(MID(D302,12,5))
</f>
        <v>46025.70833</v>
      </c>
      <c r="I302" s="7">
        <f t="shared" si="303"/>
        <v>46028</v>
      </c>
      <c r="J302" s="4">
        <f t="shared" si="3"/>
        <v>55</v>
      </c>
      <c r="K302" s="4" t="str">
        <f t="shared" si="4"/>
        <v>Within SLA</v>
      </c>
    </row>
    <row r="303">
      <c r="A303" s="1" t="s">
        <v>624</v>
      </c>
      <c r="B303" s="1" t="s">
        <v>18</v>
      </c>
      <c r="C303" s="1" t="s">
        <v>12</v>
      </c>
      <c r="D303" s="5">
        <v>46025.25</v>
      </c>
      <c r="E303" s="5">
        <v>46056.333333333336</v>
      </c>
      <c r="F303" s="6">
        <v>72.0</v>
      </c>
      <c r="G303" s="1" t="s">
        <v>14</v>
      </c>
      <c r="H303" s="7">
        <f t="shared" ref="H303:I303" si="304">DATE(MID(D303,7,4), MID(D303,4,2), LEFT(D303,2)) + TIMEVALUE(MID(D303,12,5))
</f>
        <v>46082.25</v>
      </c>
      <c r="I303" s="7">
        <f t="shared" si="304"/>
        <v>46083.33333</v>
      </c>
      <c r="J303" s="4">
        <f t="shared" si="3"/>
        <v>26</v>
      </c>
      <c r="K303" s="4" t="str">
        <f t="shared" si="4"/>
        <v>Within SLA</v>
      </c>
    </row>
    <row r="304">
      <c r="A304" s="1" t="s">
        <v>625</v>
      </c>
      <c r="B304" s="1" t="s">
        <v>18</v>
      </c>
      <c r="C304" s="1" t="s">
        <v>35</v>
      </c>
      <c r="D304" s="6" t="s">
        <v>626</v>
      </c>
      <c r="E304" s="6" t="s">
        <v>627</v>
      </c>
      <c r="F304" s="6">
        <v>48.0</v>
      </c>
      <c r="G304" s="1" t="s">
        <v>14</v>
      </c>
      <c r="H304" s="7">
        <f t="shared" ref="H304:I304" si="305">DATE(MID(D304,7,4), MID(D304,4,2), LEFT(D304,2)) + TIMEVALUE(MID(D304,12,5))
</f>
        <v>46074.5</v>
      </c>
      <c r="I304" s="7">
        <f t="shared" si="305"/>
        <v>46076.29167</v>
      </c>
      <c r="J304" s="4">
        <f t="shared" si="3"/>
        <v>43</v>
      </c>
      <c r="K304" s="4" t="str">
        <f t="shared" si="4"/>
        <v>Within SLA</v>
      </c>
    </row>
    <row r="305">
      <c r="A305" s="1" t="s">
        <v>628</v>
      </c>
      <c r="B305" s="1" t="s">
        <v>18</v>
      </c>
      <c r="C305" s="1" t="s">
        <v>19</v>
      </c>
      <c r="D305" s="5">
        <v>46174.416666666664</v>
      </c>
      <c r="E305" s="5">
        <v>46296.291666666664</v>
      </c>
      <c r="F305" s="6">
        <v>24.0</v>
      </c>
      <c r="G305" s="1" t="s">
        <v>14</v>
      </c>
      <c r="H305" s="7">
        <f t="shared" ref="H305:I305" si="306">DATE(MID(D305,7,4), MID(D305,4,2), LEFT(D305,2)) + TIMEVALUE(MID(D305,12,5))
</f>
        <v>46028.41667</v>
      </c>
      <c r="I305" s="7">
        <f t="shared" si="306"/>
        <v>46032.29167</v>
      </c>
      <c r="J305" s="4">
        <f t="shared" si="3"/>
        <v>93</v>
      </c>
      <c r="K305" s="4" t="str">
        <f t="shared" si="4"/>
        <v>Breached</v>
      </c>
    </row>
    <row r="306">
      <c r="A306" s="1" t="s">
        <v>629</v>
      </c>
      <c r="B306" s="1" t="s">
        <v>16</v>
      </c>
      <c r="C306" s="1" t="s">
        <v>19</v>
      </c>
      <c r="D306" s="6" t="s">
        <v>630</v>
      </c>
      <c r="E306" s="6" t="s">
        <v>631</v>
      </c>
      <c r="F306" s="6">
        <v>24.0</v>
      </c>
      <c r="G306" s="1" t="s">
        <v>14</v>
      </c>
      <c r="H306" s="7">
        <f t="shared" ref="H306:I306" si="307">DATE(MID(D306,7,4), MID(D306,4,2), LEFT(D306,2)) + TIMEVALUE(MID(D306,12,5))
</f>
        <v>46066.58333</v>
      </c>
      <c r="I306" s="7">
        <f t="shared" si="307"/>
        <v>46069.91667</v>
      </c>
      <c r="J306" s="4">
        <f t="shared" si="3"/>
        <v>80</v>
      </c>
      <c r="K306" s="4" t="str">
        <f t="shared" si="4"/>
        <v>Breached</v>
      </c>
    </row>
    <row r="307">
      <c r="A307" s="1" t="s">
        <v>632</v>
      </c>
      <c r="B307" s="1" t="s">
        <v>23</v>
      </c>
      <c r="C307" s="1" t="s">
        <v>12</v>
      </c>
      <c r="D307" s="5">
        <v>46055.25</v>
      </c>
      <c r="E307" s="5">
        <v>46114.666666666664</v>
      </c>
      <c r="F307" s="6">
        <v>72.0</v>
      </c>
      <c r="G307" s="1" t="s">
        <v>14</v>
      </c>
      <c r="H307" s="7">
        <f t="shared" ref="H307:I307" si="308">DATE(MID(D307,7,4), MID(D307,4,2), LEFT(D307,2)) + TIMEVALUE(MID(D307,12,5))
</f>
        <v>46055.25</v>
      </c>
      <c r="I307" s="7">
        <f t="shared" si="308"/>
        <v>46057.66667</v>
      </c>
      <c r="J307" s="4">
        <f t="shared" si="3"/>
        <v>58</v>
      </c>
      <c r="K307" s="4" t="str">
        <f t="shared" si="4"/>
        <v>Within SLA</v>
      </c>
    </row>
    <row r="308">
      <c r="A308" s="1" t="s">
        <v>633</v>
      </c>
      <c r="B308" s="1" t="s">
        <v>34</v>
      </c>
      <c r="C308" s="1" t="s">
        <v>19</v>
      </c>
      <c r="D308" s="6" t="s">
        <v>634</v>
      </c>
      <c r="E308" s="6" t="s">
        <v>67</v>
      </c>
      <c r="F308" s="6">
        <v>24.0</v>
      </c>
      <c r="G308" s="1" t="s">
        <v>14</v>
      </c>
      <c r="H308" s="7">
        <f t="shared" ref="H308:I308" si="309">DATE(MID(D308,7,4), MID(D308,4,2), LEFT(D308,2)) + TIMEVALUE(MID(D308,12,5))
</f>
        <v>46035.83333</v>
      </c>
      <c r="I308" s="7">
        <f t="shared" si="309"/>
        <v>46037.04167</v>
      </c>
      <c r="J308" s="4">
        <f t="shared" si="3"/>
        <v>29</v>
      </c>
      <c r="K308" s="4" t="str">
        <f t="shared" si="4"/>
        <v>Breached</v>
      </c>
    </row>
    <row r="309">
      <c r="A309" s="1" t="s">
        <v>635</v>
      </c>
      <c r="B309" s="1" t="s">
        <v>16</v>
      </c>
      <c r="C309" s="1" t="s">
        <v>19</v>
      </c>
      <c r="D309" s="5">
        <v>46236.291666666664</v>
      </c>
      <c r="E309" s="5">
        <v>46328.875</v>
      </c>
      <c r="F309" s="6">
        <v>24.0</v>
      </c>
      <c r="G309" s="1" t="s">
        <v>14</v>
      </c>
      <c r="H309" s="7">
        <f t="shared" ref="H309:I309" si="310">DATE(MID(D309,7,4), MID(D309,4,2), LEFT(D309,2)) + TIMEVALUE(MID(D309,12,5))
</f>
        <v>46061.29167</v>
      </c>
      <c r="I309" s="7">
        <f t="shared" si="310"/>
        <v>46064.875</v>
      </c>
      <c r="J309" s="4">
        <f t="shared" si="3"/>
        <v>86</v>
      </c>
      <c r="K309" s="4" t="str">
        <f t="shared" si="4"/>
        <v>Breached</v>
      </c>
    </row>
    <row r="310">
      <c r="A310" s="1" t="s">
        <v>636</v>
      </c>
      <c r="B310" s="1" t="s">
        <v>18</v>
      </c>
      <c r="C310" s="1" t="s">
        <v>12</v>
      </c>
      <c r="D310" s="5">
        <v>46176.375</v>
      </c>
      <c r="E310" s="5">
        <v>46237.541666666664</v>
      </c>
      <c r="F310" s="6">
        <v>72.0</v>
      </c>
      <c r="G310" s="1" t="s">
        <v>14</v>
      </c>
      <c r="H310" s="7">
        <f t="shared" ref="H310:I310" si="311">DATE(MID(D310,7,4), MID(D310,4,2), LEFT(D310,2)) + TIMEVALUE(MID(D310,12,5))
</f>
        <v>46087.375</v>
      </c>
      <c r="I310" s="7">
        <f t="shared" si="311"/>
        <v>46089.54167</v>
      </c>
      <c r="J310" s="4">
        <f t="shared" si="3"/>
        <v>52</v>
      </c>
      <c r="K310" s="4" t="str">
        <f t="shared" si="4"/>
        <v>Within SLA</v>
      </c>
    </row>
    <row r="311">
      <c r="A311" s="1" t="s">
        <v>637</v>
      </c>
      <c r="B311" s="1" t="s">
        <v>18</v>
      </c>
      <c r="C311" s="1" t="s">
        <v>12</v>
      </c>
      <c r="D311" s="6" t="s">
        <v>358</v>
      </c>
      <c r="E311" s="6" t="s">
        <v>220</v>
      </c>
      <c r="F311" s="6">
        <v>72.0</v>
      </c>
      <c r="G311" s="1" t="s">
        <v>14</v>
      </c>
      <c r="H311" s="7">
        <f t="shared" ref="H311:I311" si="312">DATE(MID(D311,7,4), MID(D311,4,2), LEFT(D311,2)) + TIMEVALUE(MID(D311,12,5))
</f>
        <v>46099.125</v>
      </c>
      <c r="I311" s="7">
        <f t="shared" si="312"/>
        <v>46101.91667</v>
      </c>
      <c r="J311" s="4">
        <f t="shared" si="3"/>
        <v>67</v>
      </c>
      <c r="K311" s="4" t="str">
        <f t="shared" si="4"/>
        <v>Within SLA</v>
      </c>
    </row>
    <row r="312">
      <c r="A312" s="1" t="s">
        <v>638</v>
      </c>
      <c r="B312" s="1" t="s">
        <v>16</v>
      </c>
      <c r="C312" s="1" t="s">
        <v>19</v>
      </c>
      <c r="D312" s="5">
        <v>46357.916666666664</v>
      </c>
      <c r="E312" s="6" t="s">
        <v>639</v>
      </c>
      <c r="F312" s="6">
        <v>24.0</v>
      </c>
      <c r="G312" s="1" t="s">
        <v>14</v>
      </c>
      <c r="H312" s="7">
        <f t="shared" ref="H312:I312" si="313">DATE(MID(D312,7,4), MID(D312,4,2), LEFT(D312,2)) + TIMEVALUE(MID(D312,12,5))
</f>
        <v>46034.91667</v>
      </c>
      <c r="I312" s="7">
        <f t="shared" si="313"/>
        <v>46038.54167</v>
      </c>
      <c r="J312" s="4">
        <f t="shared" si="3"/>
        <v>87</v>
      </c>
      <c r="K312" s="4" t="str">
        <f t="shared" si="4"/>
        <v>Breached</v>
      </c>
    </row>
    <row r="313">
      <c r="A313" s="1" t="s">
        <v>640</v>
      </c>
      <c r="B313" s="1" t="s">
        <v>16</v>
      </c>
      <c r="C313" s="1" t="s">
        <v>35</v>
      </c>
      <c r="D313" s="5">
        <v>46204.041666666664</v>
      </c>
      <c r="E313" s="5">
        <v>46235.083333333336</v>
      </c>
      <c r="F313" s="6">
        <v>48.0</v>
      </c>
      <c r="G313" s="1" t="s">
        <v>14</v>
      </c>
      <c r="H313" s="7">
        <f t="shared" ref="H313:I313" si="314">DATE(MID(D313,7,4), MID(D313,4,2), LEFT(D313,2)) + TIMEVALUE(MID(D313,12,5))
</f>
        <v>46029.04167</v>
      </c>
      <c r="I313" s="7">
        <f t="shared" si="314"/>
        <v>46030.08333</v>
      </c>
      <c r="J313" s="4">
        <f t="shared" si="3"/>
        <v>25</v>
      </c>
      <c r="K313" s="4" t="str">
        <f t="shared" si="4"/>
        <v>Within SLA</v>
      </c>
    </row>
    <row r="314">
      <c r="A314" s="1" t="s">
        <v>641</v>
      </c>
      <c r="B314" s="1" t="s">
        <v>18</v>
      </c>
      <c r="C314" s="1" t="s">
        <v>12</v>
      </c>
      <c r="D314" s="5">
        <v>46082.75</v>
      </c>
      <c r="E314" s="5">
        <v>46174.583333333336</v>
      </c>
      <c r="F314" s="6">
        <v>72.0</v>
      </c>
      <c r="G314" s="1" t="s">
        <v>14</v>
      </c>
      <c r="H314" s="7">
        <f t="shared" ref="H314:I314" si="315">DATE(MID(D314,7,4), MID(D314,4,2), LEFT(D314,2)) + TIMEVALUE(MID(D314,12,5))
</f>
        <v>46025.75</v>
      </c>
      <c r="I314" s="7">
        <f t="shared" si="315"/>
        <v>46028.58333</v>
      </c>
      <c r="J314" s="4">
        <f t="shared" si="3"/>
        <v>68</v>
      </c>
      <c r="K314" s="4" t="str">
        <f t="shared" si="4"/>
        <v>Within SLA</v>
      </c>
    </row>
    <row r="315">
      <c r="A315" s="1" t="s">
        <v>642</v>
      </c>
      <c r="B315" s="1" t="s">
        <v>18</v>
      </c>
      <c r="C315" s="1" t="s">
        <v>35</v>
      </c>
      <c r="D315" s="6" t="s">
        <v>643</v>
      </c>
      <c r="E315" s="6" t="s">
        <v>644</v>
      </c>
      <c r="F315" s="6">
        <v>48.0</v>
      </c>
      <c r="G315" s="1" t="s">
        <v>14</v>
      </c>
      <c r="H315" s="7">
        <f t="shared" ref="H315:I315" si="316">DATE(MID(D315,7,4), MID(D315,4,2), LEFT(D315,2)) + TIMEVALUE(MID(D315,12,5))
</f>
        <v>46100.58333</v>
      </c>
      <c r="I315" s="7">
        <f t="shared" si="316"/>
        <v>46101.29167</v>
      </c>
      <c r="J315" s="4">
        <f t="shared" si="3"/>
        <v>17</v>
      </c>
      <c r="K315" s="4" t="str">
        <f t="shared" si="4"/>
        <v>Within SLA</v>
      </c>
    </row>
    <row r="316">
      <c r="A316" s="1" t="s">
        <v>645</v>
      </c>
      <c r="B316" s="1" t="s">
        <v>23</v>
      </c>
      <c r="C316" s="1" t="s">
        <v>35</v>
      </c>
      <c r="D316" s="6" t="s">
        <v>253</v>
      </c>
      <c r="E316" s="6" t="s">
        <v>646</v>
      </c>
      <c r="F316" s="6">
        <v>48.0</v>
      </c>
      <c r="G316" s="1" t="s">
        <v>14</v>
      </c>
      <c r="H316" s="7">
        <f t="shared" ref="H316:I316" si="317">DATE(MID(D316,7,4), MID(D316,4,2), LEFT(D316,2)) + TIMEVALUE(MID(D316,12,5))
</f>
        <v>46047.04167</v>
      </c>
      <c r="I316" s="7">
        <f t="shared" si="317"/>
        <v>46047.83333</v>
      </c>
      <c r="J316" s="4">
        <f t="shared" si="3"/>
        <v>19</v>
      </c>
      <c r="K316" s="4" t="str">
        <f t="shared" si="4"/>
        <v>Within SLA</v>
      </c>
    </row>
    <row r="317">
      <c r="A317" s="1" t="s">
        <v>647</v>
      </c>
      <c r="B317" s="1" t="s">
        <v>11</v>
      </c>
      <c r="C317" s="1" t="s">
        <v>12</v>
      </c>
      <c r="D317" s="5">
        <v>46237.166666666664</v>
      </c>
      <c r="E317" s="5">
        <v>46329.291666666664</v>
      </c>
      <c r="F317" s="6">
        <v>72.0</v>
      </c>
      <c r="G317" s="1" t="s">
        <v>14</v>
      </c>
      <c r="H317" s="7">
        <f t="shared" ref="H317:I317" si="318">DATE(MID(D317,7,4), MID(D317,4,2), LEFT(D317,2)) + TIMEVALUE(MID(D317,12,5))
</f>
        <v>46089.16667</v>
      </c>
      <c r="I317" s="7">
        <f t="shared" si="318"/>
        <v>46092.29167</v>
      </c>
      <c r="J317" s="4">
        <f t="shared" si="3"/>
        <v>75</v>
      </c>
      <c r="K317" s="4" t="str">
        <f t="shared" si="4"/>
        <v>Breached</v>
      </c>
    </row>
    <row r="318">
      <c r="A318" s="1" t="s">
        <v>648</v>
      </c>
      <c r="B318" s="1" t="s">
        <v>16</v>
      </c>
      <c r="C318" s="1" t="s">
        <v>35</v>
      </c>
      <c r="D318" s="6" t="s">
        <v>649</v>
      </c>
      <c r="E318" s="6" t="s">
        <v>650</v>
      </c>
      <c r="F318" s="6">
        <v>48.0</v>
      </c>
      <c r="G318" s="1" t="s">
        <v>14</v>
      </c>
      <c r="H318" s="7">
        <f t="shared" ref="H318:I318" si="319">DATE(MID(D318,7,4), MID(D318,4,2), LEFT(D318,2)) + TIMEVALUE(MID(D318,12,5))
</f>
        <v>46045.16667</v>
      </c>
      <c r="I318" s="7">
        <f t="shared" si="319"/>
        <v>46048.66667</v>
      </c>
      <c r="J318" s="4">
        <f t="shared" si="3"/>
        <v>84</v>
      </c>
      <c r="K318" s="4" t="str">
        <f t="shared" si="4"/>
        <v>Breached</v>
      </c>
    </row>
    <row r="319">
      <c r="A319" s="1" t="s">
        <v>651</v>
      </c>
      <c r="B319" s="1" t="s">
        <v>23</v>
      </c>
      <c r="C319" s="1" t="s">
        <v>12</v>
      </c>
      <c r="D319" s="6" t="s">
        <v>126</v>
      </c>
      <c r="E319" s="6" t="s">
        <v>652</v>
      </c>
      <c r="F319" s="6">
        <v>72.0</v>
      </c>
      <c r="G319" s="1" t="s">
        <v>14</v>
      </c>
      <c r="H319" s="7">
        <f t="shared" ref="H319:I319" si="320">DATE(MID(D319,7,4), MID(D319,4,2), LEFT(D319,2)) + TIMEVALUE(MID(D319,12,5))
</f>
        <v>46077.04167</v>
      </c>
      <c r="I319" s="7">
        <f t="shared" si="320"/>
        <v>46078.83333</v>
      </c>
      <c r="J319" s="4">
        <f t="shared" si="3"/>
        <v>43</v>
      </c>
      <c r="K319" s="4" t="str">
        <f t="shared" si="4"/>
        <v>Within SLA</v>
      </c>
    </row>
    <row r="320">
      <c r="A320" s="1" t="s">
        <v>653</v>
      </c>
      <c r="B320" s="1" t="s">
        <v>11</v>
      </c>
      <c r="C320" s="1" t="s">
        <v>12</v>
      </c>
      <c r="D320" s="6" t="s">
        <v>654</v>
      </c>
      <c r="E320" s="6" t="s">
        <v>655</v>
      </c>
      <c r="F320" s="6">
        <v>72.0</v>
      </c>
      <c r="G320" s="1" t="s">
        <v>14</v>
      </c>
      <c r="H320" s="7">
        <f t="shared" ref="H320:I320" si="321">DATE(MID(D320,7,4), MID(D320,4,2), LEFT(D320,2)) + TIMEVALUE(MID(D320,12,5))
</f>
        <v>46050.29167</v>
      </c>
      <c r="I320" s="7">
        <f t="shared" si="321"/>
        <v>46052.70833</v>
      </c>
      <c r="J320" s="4">
        <f t="shared" si="3"/>
        <v>58</v>
      </c>
      <c r="K320" s="4" t="str">
        <f t="shared" si="4"/>
        <v>Within SLA</v>
      </c>
    </row>
    <row r="321">
      <c r="A321" s="1" t="s">
        <v>656</v>
      </c>
      <c r="B321" s="1" t="s">
        <v>34</v>
      </c>
      <c r="C321" s="1" t="s">
        <v>19</v>
      </c>
      <c r="D321" s="6" t="s">
        <v>657</v>
      </c>
      <c r="E321" s="6" t="s">
        <v>658</v>
      </c>
      <c r="F321" s="6">
        <v>24.0</v>
      </c>
      <c r="G321" s="1" t="s">
        <v>14</v>
      </c>
      <c r="H321" s="7">
        <f t="shared" ref="H321:I321" si="322">DATE(MID(D321,7,4), MID(D321,4,2), LEFT(D321,2)) + TIMEVALUE(MID(D321,12,5))
</f>
        <v>46102.29167</v>
      </c>
      <c r="I321" s="7">
        <f t="shared" si="322"/>
        <v>46102.91667</v>
      </c>
      <c r="J321" s="4">
        <f t="shared" si="3"/>
        <v>15</v>
      </c>
      <c r="K321" s="4" t="str">
        <f t="shared" si="4"/>
        <v>Within SLA</v>
      </c>
    </row>
    <row r="322">
      <c r="A322" s="1" t="s">
        <v>659</v>
      </c>
      <c r="B322" s="1" t="s">
        <v>23</v>
      </c>
      <c r="C322" s="1" t="s">
        <v>12</v>
      </c>
      <c r="D322" s="6" t="s">
        <v>660</v>
      </c>
      <c r="E322" s="6" t="s">
        <v>661</v>
      </c>
      <c r="F322" s="6">
        <v>72.0</v>
      </c>
      <c r="G322" s="1" t="s">
        <v>14</v>
      </c>
      <c r="H322" s="7">
        <f t="shared" ref="H322:I322" si="323">DATE(MID(D322,7,4), MID(D322,4,2), LEFT(D322,2)) + TIMEVALUE(MID(D322,12,5))
</f>
        <v>46045.08333</v>
      </c>
      <c r="I322" s="7">
        <f t="shared" si="323"/>
        <v>46045.58333</v>
      </c>
      <c r="J322" s="4">
        <f t="shared" si="3"/>
        <v>12</v>
      </c>
      <c r="K322" s="4" t="str">
        <f t="shared" si="4"/>
        <v>Within SLA</v>
      </c>
    </row>
    <row r="323">
      <c r="A323" s="1" t="s">
        <v>662</v>
      </c>
      <c r="B323" s="1" t="s">
        <v>16</v>
      </c>
      <c r="C323" s="1" t="s">
        <v>12</v>
      </c>
      <c r="D323" s="6" t="s">
        <v>663</v>
      </c>
      <c r="E323" s="6" t="s">
        <v>664</v>
      </c>
      <c r="F323" s="6">
        <v>72.0</v>
      </c>
      <c r="G323" s="1" t="s">
        <v>14</v>
      </c>
      <c r="H323" s="7">
        <f t="shared" ref="H323:I323" si="324">DATE(MID(D323,7,4), MID(D323,4,2), LEFT(D323,2)) + TIMEVALUE(MID(D323,12,5))
</f>
        <v>46077.08333</v>
      </c>
      <c r="I323" s="7">
        <f t="shared" si="324"/>
        <v>46079.58333</v>
      </c>
      <c r="J323" s="4">
        <f t="shared" si="3"/>
        <v>60</v>
      </c>
      <c r="K323" s="4" t="str">
        <f t="shared" si="4"/>
        <v>Within SLA</v>
      </c>
    </row>
    <row r="324">
      <c r="A324" s="1" t="s">
        <v>665</v>
      </c>
      <c r="B324" s="1" t="s">
        <v>23</v>
      </c>
      <c r="C324" s="1" t="s">
        <v>12</v>
      </c>
      <c r="D324" s="5">
        <v>46055.708333333336</v>
      </c>
      <c r="E324" s="5">
        <v>46114.5</v>
      </c>
      <c r="F324" s="6">
        <v>72.0</v>
      </c>
      <c r="G324" s="1" t="s">
        <v>14</v>
      </c>
      <c r="H324" s="7">
        <f t="shared" ref="H324:I324" si="325">DATE(MID(D324,7,4), MID(D324,4,2), LEFT(D324,2)) + TIMEVALUE(MID(D324,12,5))
</f>
        <v>46055.70833</v>
      </c>
      <c r="I324" s="7">
        <f t="shared" si="325"/>
        <v>46057.5</v>
      </c>
      <c r="J324" s="4">
        <f t="shared" si="3"/>
        <v>43</v>
      </c>
      <c r="K324" s="4" t="str">
        <f t="shared" si="4"/>
        <v>Within SLA</v>
      </c>
    </row>
    <row r="325">
      <c r="A325" s="1" t="s">
        <v>666</v>
      </c>
      <c r="B325" s="1" t="s">
        <v>23</v>
      </c>
      <c r="C325" s="1" t="s">
        <v>19</v>
      </c>
      <c r="D325" s="5">
        <v>46328.666666666664</v>
      </c>
      <c r="E325" s="6" t="s">
        <v>667</v>
      </c>
      <c r="F325" s="6">
        <v>24.0</v>
      </c>
      <c r="G325" s="1" t="s">
        <v>14</v>
      </c>
      <c r="H325" s="7">
        <f t="shared" ref="H325:I325" si="326">DATE(MID(D325,7,4), MID(D325,4,2), LEFT(D325,2)) + TIMEVALUE(MID(D325,12,5))
</f>
        <v>46064.66667</v>
      </c>
      <c r="I325" s="7">
        <f t="shared" si="326"/>
        <v>46068.125</v>
      </c>
      <c r="J325" s="4">
        <f t="shared" si="3"/>
        <v>83</v>
      </c>
      <c r="K325" s="4" t="str">
        <f t="shared" si="4"/>
        <v>Breached</v>
      </c>
    </row>
    <row r="326">
      <c r="A326" s="1" t="s">
        <v>668</v>
      </c>
      <c r="B326" s="1" t="s">
        <v>11</v>
      </c>
      <c r="C326" s="1" t="s">
        <v>35</v>
      </c>
      <c r="D326" s="6" t="s">
        <v>309</v>
      </c>
      <c r="E326" s="6" t="s">
        <v>669</v>
      </c>
      <c r="F326" s="6">
        <v>48.0</v>
      </c>
      <c r="G326" s="1" t="s">
        <v>14</v>
      </c>
      <c r="H326" s="7">
        <f t="shared" ref="H326:I326" si="327">DATE(MID(D326,7,4), MID(D326,4,2), LEFT(D326,2)) + TIMEVALUE(MID(D326,12,5))
</f>
        <v>46071.5</v>
      </c>
      <c r="I326" s="7">
        <f t="shared" si="327"/>
        <v>46074.79167</v>
      </c>
      <c r="J326" s="4">
        <f t="shared" si="3"/>
        <v>79</v>
      </c>
      <c r="K326" s="4" t="str">
        <f t="shared" si="4"/>
        <v>Breached</v>
      </c>
    </row>
    <row r="327">
      <c r="A327" s="1" t="s">
        <v>670</v>
      </c>
      <c r="B327" s="1" t="s">
        <v>34</v>
      </c>
      <c r="C327" s="1" t="s">
        <v>19</v>
      </c>
      <c r="D327" s="5">
        <v>46206.791666666664</v>
      </c>
      <c r="E327" s="5">
        <v>46237.666666666664</v>
      </c>
      <c r="F327" s="6">
        <v>24.0</v>
      </c>
      <c r="G327" s="1" t="s">
        <v>14</v>
      </c>
      <c r="H327" s="7">
        <f t="shared" ref="H327:I327" si="328">DATE(MID(D327,7,4), MID(D327,4,2), LEFT(D327,2)) + TIMEVALUE(MID(D327,12,5))
</f>
        <v>46088.79167</v>
      </c>
      <c r="I327" s="7">
        <f t="shared" si="328"/>
        <v>46089.66667</v>
      </c>
      <c r="J327" s="4">
        <f t="shared" si="3"/>
        <v>21</v>
      </c>
      <c r="K327" s="4" t="str">
        <f t="shared" si="4"/>
        <v>Within SLA</v>
      </c>
    </row>
    <row r="328">
      <c r="A328" s="1" t="s">
        <v>671</v>
      </c>
      <c r="B328" s="1" t="s">
        <v>23</v>
      </c>
      <c r="C328" s="1" t="s">
        <v>19</v>
      </c>
      <c r="D328" s="6" t="s">
        <v>672</v>
      </c>
      <c r="E328" s="6" t="s">
        <v>673</v>
      </c>
      <c r="F328" s="6">
        <v>24.0</v>
      </c>
      <c r="G328" s="1" t="s">
        <v>14</v>
      </c>
      <c r="H328" s="7">
        <f t="shared" ref="H328:I328" si="329">DATE(MID(D328,7,4), MID(D328,4,2), LEFT(D328,2)) + TIMEVALUE(MID(D328,12,5))
</f>
        <v>46075.83333</v>
      </c>
      <c r="I328" s="7">
        <f t="shared" si="329"/>
        <v>46076.625</v>
      </c>
      <c r="J328" s="4">
        <f t="shared" si="3"/>
        <v>19</v>
      </c>
      <c r="K328" s="4" t="str">
        <f t="shared" si="4"/>
        <v>Within SLA</v>
      </c>
    </row>
    <row r="329">
      <c r="A329" s="1" t="s">
        <v>674</v>
      </c>
      <c r="B329" s="1" t="s">
        <v>34</v>
      </c>
      <c r="C329" s="1" t="s">
        <v>12</v>
      </c>
      <c r="D329" s="5">
        <v>46054.458333333336</v>
      </c>
      <c r="E329" s="5">
        <v>46174.208333333336</v>
      </c>
      <c r="F329" s="6">
        <v>72.0</v>
      </c>
      <c r="G329" s="1" t="s">
        <v>14</v>
      </c>
      <c r="H329" s="7">
        <f t="shared" ref="H329:I329" si="330">DATE(MID(D329,7,4), MID(D329,4,2), LEFT(D329,2)) + TIMEVALUE(MID(D329,12,5))
</f>
        <v>46024.45833</v>
      </c>
      <c r="I329" s="7">
        <f t="shared" si="330"/>
        <v>46028.20833</v>
      </c>
      <c r="J329" s="4">
        <f t="shared" si="3"/>
        <v>90</v>
      </c>
      <c r="K329" s="4" t="str">
        <f t="shared" si="4"/>
        <v>Breached</v>
      </c>
    </row>
    <row r="330">
      <c r="A330" s="1" t="s">
        <v>675</v>
      </c>
      <c r="B330" s="1" t="s">
        <v>34</v>
      </c>
      <c r="C330" s="1" t="s">
        <v>35</v>
      </c>
      <c r="D330" s="5">
        <v>46327.125</v>
      </c>
      <c r="E330" s="6" t="s">
        <v>676</v>
      </c>
      <c r="F330" s="6">
        <v>48.0</v>
      </c>
      <c r="G330" s="1" t="s">
        <v>14</v>
      </c>
      <c r="H330" s="7">
        <f t="shared" ref="H330:I330" si="331">DATE(MID(D330,7,4), MID(D330,4,2), LEFT(D330,2)) + TIMEVALUE(MID(D330,12,5))
</f>
        <v>46033.125</v>
      </c>
      <c r="I330" s="7">
        <f t="shared" si="331"/>
        <v>46036</v>
      </c>
      <c r="J330" s="4">
        <f t="shared" si="3"/>
        <v>69</v>
      </c>
      <c r="K330" s="4" t="str">
        <f t="shared" si="4"/>
        <v>Breached</v>
      </c>
    </row>
    <row r="331">
      <c r="A331" s="1" t="s">
        <v>677</v>
      </c>
      <c r="B331" s="1" t="s">
        <v>16</v>
      </c>
      <c r="C331" s="1" t="s">
        <v>12</v>
      </c>
      <c r="D331" s="5">
        <v>46235.833333333336</v>
      </c>
      <c r="E331" s="5">
        <v>46296.541666666664</v>
      </c>
      <c r="F331" s="6">
        <v>72.0</v>
      </c>
      <c r="G331" s="1" t="s">
        <v>14</v>
      </c>
      <c r="H331" s="7">
        <f t="shared" ref="H331:I331" si="332">DATE(MID(D331,7,4), MID(D331,4,2), LEFT(D331,2)) + TIMEVALUE(MID(D331,12,5))
</f>
        <v>46030.83333</v>
      </c>
      <c r="I331" s="7">
        <f t="shared" si="332"/>
        <v>46032.54167</v>
      </c>
      <c r="J331" s="4">
        <f t="shared" si="3"/>
        <v>41</v>
      </c>
      <c r="K331" s="4" t="str">
        <f t="shared" si="4"/>
        <v>Within SLA</v>
      </c>
    </row>
    <row r="332">
      <c r="A332" s="1" t="s">
        <v>678</v>
      </c>
      <c r="B332" s="1" t="s">
        <v>34</v>
      </c>
      <c r="C332" s="1" t="s">
        <v>35</v>
      </c>
      <c r="D332" s="6" t="s">
        <v>679</v>
      </c>
      <c r="E332" s="6" t="s">
        <v>680</v>
      </c>
      <c r="F332" s="6">
        <v>48.0</v>
      </c>
      <c r="G332" s="1" t="s">
        <v>14</v>
      </c>
      <c r="H332" s="7">
        <f t="shared" ref="H332:I332" si="333">DATE(MID(D332,7,4), MID(D332,4,2), LEFT(D332,2)) + TIMEVALUE(MID(D332,12,5))
</f>
        <v>46067.75</v>
      </c>
      <c r="I332" s="7">
        <f t="shared" si="333"/>
        <v>46068.41667</v>
      </c>
      <c r="J332" s="4">
        <f t="shared" si="3"/>
        <v>16</v>
      </c>
      <c r="K332" s="4" t="str">
        <f t="shared" si="4"/>
        <v>Within SLA</v>
      </c>
    </row>
    <row r="333">
      <c r="A333" s="1" t="s">
        <v>681</v>
      </c>
      <c r="B333" s="1" t="s">
        <v>23</v>
      </c>
      <c r="C333" s="1" t="s">
        <v>19</v>
      </c>
      <c r="D333" s="6" t="s">
        <v>682</v>
      </c>
      <c r="E333" s="6" t="s">
        <v>683</v>
      </c>
      <c r="F333" s="6">
        <v>24.0</v>
      </c>
      <c r="G333" s="1" t="s">
        <v>14</v>
      </c>
      <c r="H333" s="7">
        <f t="shared" ref="H333:I333" si="334">DATE(MID(D333,7,4), MID(D333,4,2), LEFT(D333,2)) + TIMEVALUE(MID(D333,12,5))
</f>
        <v>46039.83333</v>
      </c>
      <c r="I333" s="7">
        <f t="shared" si="334"/>
        <v>46041.91667</v>
      </c>
      <c r="J333" s="4">
        <f t="shared" si="3"/>
        <v>50</v>
      </c>
      <c r="K333" s="4" t="str">
        <f t="shared" si="4"/>
        <v>Breached</v>
      </c>
    </row>
    <row r="334">
      <c r="A334" s="1" t="s">
        <v>684</v>
      </c>
      <c r="B334" s="1" t="s">
        <v>23</v>
      </c>
      <c r="C334" s="1" t="s">
        <v>19</v>
      </c>
      <c r="D334" s="6" t="s">
        <v>685</v>
      </c>
      <c r="E334" s="6" t="s">
        <v>132</v>
      </c>
      <c r="F334" s="6">
        <v>24.0</v>
      </c>
      <c r="G334" s="1" t="s">
        <v>14</v>
      </c>
      <c r="H334" s="7">
        <f t="shared" ref="H334:I334" si="335">DATE(MID(D334,7,4), MID(D334,4,2), LEFT(D334,2)) + TIMEVALUE(MID(D334,12,5))
</f>
        <v>46042.45833</v>
      </c>
      <c r="I334" s="7">
        <f t="shared" si="335"/>
        <v>46044.75</v>
      </c>
      <c r="J334" s="4">
        <f t="shared" si="3"/>
        <v>55</v>
      </c>
      <c r="K334" s="4" t="str">
        <f t="shared" si="4"/>
        <v>Breached</v>
      </c>
    </row>
    <row r="335">
      <c r="A335" s="1" t="s">
        <v>686</v>
      </c>
      <c r="B335" s="1" t="s">
        <v>23</v>
      </c>
      <c r="C335" s="1" t="s">
        <v>19</v>
      </c>
      <c r="D335" s="5">
        <v>46144.958333333336</v>
      </c>
      <c r="E335" s="5">
        <v>46205.875</v>
      </c>
      <c r="F335" s="6">
        <v>24.0</v>
      </c>
      <c r="G335" s="1" t="s">
        <v>14</v>
      </c>
      <c r="H335" s="7">
        <f t="shared" ref="H335:I335" si="336">DATE(MID(D335,7,4), MID(D335,4,2), LEFT(D335,2)) + TIMEVALUE(MID(D335,12,5))
</f>
        <v>46058.95833</v>
      </c>
      <c r="I335" s="7">
        <f t="shared" si="336"/>
        <v>46060.875</v>
      </c>
      <c r="J335" s="4">
        <f t="shared" si="3"/>
        <v>46</v>
      </c>
      <c r="K335" s="4" t="str">
        <f t="shared" si="4"/>
        <v>Breached</v>
      </c>
    </row>
    <row r="336">
      <c r="A336" s="1" t="s">
        <v>687</v>
      </c>
      <c r="B336" s="1" t="s">
        <v>16</v>
      </c>
      <c r="C336" s="1" t="s">
        <v>19</v>
      </c>
      <c r="D336" s="6" t="s">
        <v>108</v>
      </c>
      <c r="E336" s="6" t="s">
        <v>688</v>
      </c>
      <c r="F336" s="6">
        <v>24.0</v>
      </c>
      <c r="G336" s="1" t="s">
        <v>14</v>
      </c>
      <c r="H336" s="7">
        <f t="shared" ref="H336:I336" si="337">DATE(MID(D336,7,4), MID(D336,4,2), LEFT(D336,2)) + TIMEVALUE(MID(D336,12,5))
</f>
        <v>46071.83333</v>
      </c>
      <c r="I336" s="7">
        <f t="shared" si="337"/>
        <v>46074.95833</v>
      </c>
      <c r="J336" s="4">
        <f t="shared" si="3"/>
        <v>75</v>
      </c>
      <c r="K336" s="4" t="str">
        <f t="shared" si="4"/>
        <v>Breached</v>
      </c>
    </row>
    <row r="337">
      <c r="A337" s="1" t="s">
        <v>689</v>
      </c>
      <c r="B337" s="1" t="s">
        <v>11</v>
      </c>
      <c r="C337" s="1" t="s">
        <v>35</v>
      </c>
      <c r="D337" s="6" t="s">
        <v>690</v>
      </c>
      <c r="E337" s="6" t="s">
        <v>691</v>
      </c>
      <c r="F337" s="6">
        <v>48.0</v>
      </c>
      <c r="G337" s="1" t="s">
        <v>14</v>
      </c>
      <c r="H337" s="7">
        <f t="shared" ref="H337:I337" si="338">DATE(MID(D337,7,4), MID(D337,4,2), LEFT(D337,2)) + TIMEVALUE(MID(D337,12,5))
</f>
        <v>46099.79167</v>
      </c>
      <c r="I337" s="7">
        <f t="shared" si="338"/>
        <v>46101.66667</v>
      </c>
      <c r="J337" s="4">
        <f t="shared" si="3"/>
        <v>45</v>
      </c>
      <c r="K337" s="4" t="str">
        <f t="shared" si="4"/>
        <v>Within SLA</v>
      </c>
    </row>
    <row r="338">
      <c r="A338" s="1" t="s">
        <v>692</v>
      </c>
      <c r="B338" s="1" t="s">
        <v>18</v>
      </c>
      <c r="C338" s="1" t="s">
        <v>19</v>
      </c>
      <c r="D338" s="6" t="s">
        <v>693</v>
      </c>
      <c r="E338" s="6" t="s">
        <v>694</v>
      </c>
      <c r="F338" s="6">
        <v>24.0</v>
      </c>
      <c r="G338" s="1" t="s">
        <v>14</v>
      </c>
      <c r="H338" s="7">
        <f t="shared" ref="H338:I338" si="339">DATE(MID(D338,7,4), MID(D338,4,2), LEFT(D338,2)) + TIMEVALUE(MID(D338,12,5))
</f>
        <v>46104.91667</v>
      </c>
      <c r="I338" s="7">
        <f t="shared" si="339"/>
        <v>46106.91667</v>
      </c>
      <c r="J338" s="4">
        <f t="shared" si="3"/>
        <v>48</v>
      </c>
      <c r="K338" s="4" t="str">
        <f t="shared" si="4"/>
        <v>Breached</v>
      </c>
    </row>
    <row r="339">
      <c r="A339" s="1" t="s">
        <v>695</v>
      </c>
      <c r="B339" s="1" t="s">
        <v>11</v>
      </c>
      <c r="C339" s="1" t="s">
        <v>19</v>
      </c>
      <c r="D339" s="5">
        <v>46205.291666666664</v>
      </c>
      <c r="E339" s="5">
        <v>46267.583333333336</v>
      </c>
      <c r="F339" s="6">
        <v>24.0</v>
      </c>
      <c r="G339" s="1" t="s">
        <v>14</v>
      </c>
      <c r="H339" s="7">
        <f t="shared" ref="H339:I339" si="340">DATE(MID(D339,7,4), MID(D339,4,2), LEFT(D339,2)) + TIMEVALUE(MID(D339,12,5))
</f>
        <v>46060.29167</v>
      </c>
      <c r="I339" s="7">
        <f t="shared" si="340"/>
        <v>46062.58333</v>
      </c>
      <c r="J339" s="4">
        <f t="shared" si="3"/>
        <v>55</v>
      </c>
      <c r="K339" s="4" t="str">
        <f t="shared" si="4"/>
        <v>Breached</v>
      </c>
    </row>
    <row r="340">
      <c r="A340" s="1" t="s">
        <v>696</v>
      </c>
      <c r="B340" s="1" t="s">
        <v>23</v>
      </c>
      <c r="C340" s="1" t="s">
        <v>35</v>
      </c>
      <c r="D340" s="6" t="s">
        <v>697</v>
      </c>
      <c r="E340" s="6" t="s">
        <v>507</v>
      </c>
      <c r="F340" s="6">
        <v>48.0</v>
      </c>
      <c r="G340" s="1" t="s">
        <v>14</v>
      </c>
      <c r="H340" s="7">
        <f t="shared" ref="H340:I340" si="341">DATE(MID(D340,7,4), MID(D340,4,2), LEFT(D340,2)) + TIMEVALUE(MID(D340,12,5))
</f>
        <v>46051.125</v>
      </c>
      <c r="I340" s="7">
        <f t="shared" si="341"/>
        <v>46052</v>
      </c>
      <c r="J340" s="4">
        <f t="shared" si="3"/>
        <v>21</v>
      </c>
      <c r="K340" s="4" t="str">
        <f t="shared" si="4"/>
        <v>Within SLA</v>
      </c>
    </row>
    <row r="341">
      <c r="A341" s="1" t="s">
        <v>698</v>
      </c>
      <c r="B341" s="1" t="s">
        <v>16</v>
      </c>
      <c r="C341" s="1" t="s">
        <v>19</v>
      </c>
      <c r="D341" s="5">
        <v>46024.625</v>
      </c>
      <c r="E341" s="5">
        <v>46114.916666666664</v>
      </c>
      <c r="F341" s="6">
        <v>24.0</v>
      </c>
      <c r="G341" s="1" t="s">
        <v>14</v>
      </c>
      <c r="H341" s="7">
        <f t="shared" ref="H341:I341" si="342">DATE(MID(D341,7,4), MID(D341,4,2), LEFT(D341,2)) + TIMEVALUE(MID(D341,12,5))
</f>
        <v>46054.625</v>
      </c>
      <c r="I341" s="7">
        <f t="shared" si="342"/>
        <v>46057.91667</v>
      </c>
      <c r="J341" s="4">
        <f t="shared" si="3"/>
        <v>79</v>
      </c>
      <c r="K341" s="4" t="str">
        <f t="shared" si="4"/>
        <v>Breached</v>
      </c>
    </row>
    <row r="342">
      <c r="A342" s="1" t="s">
        <v>699</v>
      </c>
      <c r="B342" s="1" t="s">
        <v>16</v>
      </c>
      <c r="C342" s="1" t="s">
        <v>12</v>
      </c>
      <c r="D342" s="6" t="s">
        <v>700</v>
      </c>
      <c r="E342" s="6" t="s">
        <v>701</v>
      </c>
      <c r="F342" s="6">
        <v>72.0</v>
      </c>
      <c r="G342" s="1" t="s">
        <v>14</v>
      </c>
      <c r="H342" s="7">
        <f t="shared" ref="H342:I342" si="343">DATE(MID(D342,7,4), MID(D342,4,2), LEFT(D342,2)) + TIMEVALUE(MID(D342,12,5))
</f>
        <v>46073.20833</v>
      </c>
      <c r="I342" s="7">
        <f t="shared" si="343"/>
        <v>46076.16667</v>
      </c>
      <c r="J342" s="4">
        <f t="shared" si="3"/>
        <v>71</v>
      </c>
      <c r="K342" s="4" t="str">
        <f t="shared" si="4"/>
        <v>Within SLA</v>
      </c>
    </row>
    <row r="343">
      <c r="A343" s="1" t="s">
        <v>702</v>
      </c>
      <c r="B343" s="1" t="s">
        <v>16</v>
      </c>
      <c r="C343" s="1" t="s">
        <v>35</v>
      </c>
      <c r="D343" s="6" t="s">
        <v>703</v>
      </c>
      <c r="E343" s="6" t="s">
        <v>704</v>
      </c>
      <c r="F343" s="6">
        <v>48.0</v>
      </c>
      <c r="G343" s="1" t="s">
        <v>14</v>
      </c>
      <c r="H343" s="7">
        <f t="shared" ref="H343:I343" si="344">DATE(MID(D343,7,4), MID(D343,4,2), LEFT(D343,2)) + TIMEVALUE(MID(D343,12,5))
</f>
        <v>46098.33333</v>
      </c>
      <c r="I343" s="7">
        <f t="shared" si="344"/>
        <v>46101.20833</v>
      </c>
      <c r="J343" s="4">
        <f t="shared" si="3"/>
        <v>69</v>
      </c>
      <c r="K343" s="4" t="str">
        <f t="shared" si="4"/>
        <v>Breached</v>
      </c>
    </row>
    <row r="344">
      <c r="A344" s="1" t="s">
        <v>705</v>
      </c>
      <c r="B344" s="1" t="s">
        <v>34</v>
      </c>
      <c r="C344" s="1" t="s">
        <v>35</v>
      </c>
      <c r="D344" s="6" t="s">
        <v>706</v>
      </c>
      <c r="E344" s="5">
        <v>46056.125</v>
      </c>
      <c r="F344" s="6">
        <v>48.0</v>
      </c>
      <c r="G344" s="1" t="s">
        <v>14</v>
      </c>
      <c r="H344" s="7">
        <f t="shared" ref="H344:I344" si="345">DATE(MID(D344,7,4), MID(D344,4,2), LEFT(D344,2)) + TIMEVALUE(MID(D344,12,5))
</f>
        <v>46079.79167</v>
      </c>
      <c r="I344" s="7">
        <f t="shared" si="345"/>
        <v>46083.125</v>
      </c>
      <c r="J344" s="4">
        <f t="shared" si="3"/>
        <v>80</v>
      </c>
      <c r="K344" s="4" t="str">
        <f t="shared" si="4"/>
        <v>Breached</v>
      </c>
    </row>
    <row r="345">
      <c r="A345" s="1" t="s">
        <v>707</v>
      </c>
      <c r="B345" s="1" t="s">
        <v>16</v>
      </c>
      <c r="C345" s="1" t="s">
        <v>19</v>
      </c>
      <c r="D345" s="6" t="s">
        <v>708</v>
      </c>
      <c r="E345" s="6" t="s">
        <v>709</v>
      </c>
      <c r="F345" s="6">
        <v>24.0</v>
      </c>
      <c r="G345" s="1" t="s">
        <v>14</v>
      </c>
      <c r="H345" s="7">
        <f t="shared" ref="H345:I345" si="346">DATE(MID(D345,7,4), MID(D345,4,2), LEFT(D345,2)) + TIMEVALUE(MID(D345,12,5))
</f>
        <v>46078.41667</v>
      </c>
      <c r="I345" s="7">
        <f t="shared" si="346"/>
        <v>46080.70833</v>
      </c>
      <c r="J345" s="4">
        <f t="shared" si="3"/>
        <v>55</v>
      </c>
      <c r="K345" s="4" t="str">
        <f t="shared" si="4"/>
        <v>Breached</v>
      </c>
    </row>
    <row r="346">
      <c r="A346" s="1" t="s">
        <v>710</v>
      </c>
      <c r="B346" s="1" t="s">
        <v>16</v>
      </c>
      <c r="C346" s="1" t="s">
        <v>19</v>
      </c>
      <c r="D346" s="6" t="s">
        <v>711</v>
      </c>
      <c r="E346" s="6" t="s">
        <v>712</v>
      </c>
      <c r="F346" s="6">
        <v>24.0</v>
      </c>
      <c r="G346" s="1" t="s">
        <v>14</v>
      </c>
      <c r="H346" s="7">
        <f t="shared" ref="H346:I346" si="347">DATE(MID(D346,7,4), MID(D346,4,2), LEFT(D346,2)) + TIMEVALUE(MID(D346,12,5))
</f>
        <v>46078.375</v>
      </c>
      <c r="I346" s="7">
        <f t="shared" si="347"/>
        <v>46080.91667</v>
      </c>
      <c r="J346" s="4">
        <f t="shared" si="3"/>
        <v>61</v>
      </c>
      <c r="K346" s="4" t="str">
        <f t="shared" si="4"/>
        <v>Breached</v>
      </c>
    </row>
    <row r="347">
      <c r="A347" s="1" t="s">
        <v>713</v>
      </c>
      <c r="B347" s="1" t="s">
        <v>23</v>
      </c>
      <c r="C347" s="1" t="s">
        <v>12</v>
      </c>
      <c r="D347" s="5">
        <v>46056.041666666664</v>
      </c>
      <c r="E347" s="5">
        <v>46084.25</v>
      </c>
      <c r="F347" s="6">
        <v>72.0</v>
      </c>
      <c r="G347" s="1" t="s">
        <v>14</v>
      </c>
      <c r="H347" s="7">
        <f t="shared" ref="H347:I347" si="348">DATE(MID(D347,7,4), MID(D347,4,2), LEFT(D347,2)) + TIMEVALUE(MID(D347,12,5))
</f>
        <v>46083.04167</v>
      </c>
      <c r="I347" s="7">
        <f t="shared" si="348"/>
        <v>46084.25</v>
      </c>
      <c r="J347" s="4">
        <f t="shared" si="3"/>
        <v>29</v>
      </c>
      <c r="K347" s="4" t="str">
        <f t="shared" si="4"/>
        <v>Within SLA</v>
      </c>
    </row>
    <row r="348">
      <c r="A348" s="1" t="s">
        <v>714</v>
      </c>
      <c r="B348" s="1" t="s">
        <v>23</v>
      </c>
      <c r="C348" s="1" t="s">
        <v>19</v>
      </c>
      <c r="D348" s="6" t="s">
        <v>244</v>
      </c>
      <c r="E348" s="6" t="s">
        <v>715</v>
      </c>
      <c r="F348" s="6">
        <v>24.0</v>
      </c>
      <c r="G348" s="1" t="s">
        <v>14</v>
      </c>
      <c r="H348" s="7">
        <f t="shared" ref="H348:I348" si="349">DATE(MID(D348,7,4), MID(D348,4,2), LEFT(D348,2)) + TIMEVALUE(MID(D348,12,5))
</f>
        <v>46094.95833</v>
      </c>
      <c r="I348" s="7">
        <f t="shared" si="349"/>
        <v>46096.25</v>
      </c>
      <c r="J348" s="4">
        <f t="shared" si="3"/>
        <v>31</v>
      </c>
      <c r="K348" s="4" t="str">
        <f t="shared" si="4"/>
        <v>Breached</v>
      </c>
    </row>
    <row r="349">
      <c r="A349" s="1" t="s">
        <v>716</v>
      </c>
      <c r="B349" s="1" t="s">
        <v>34</v>
      </c>
      <c r="C349" s="1" t="s">
        <v>35</v>
      </c>
      <c r="D349" s="5">
        <v>46329.375</v>
      </c>
      <c r="E349" s="5">
        <v>46359.208333333336</v>
      </c>
      <c r="F349" s="6">
        <v>48.0</v>
      </c>
      <c r="G349" s="1" t="s">
        <v>14</v>
      </c>
      <c r="H349" s="7">
        <f t="shared" ref="H349:I349" si="350">DATE(MID(D349,7,4), MID(D349,4,2), LEFT(D349,2)) + TIMEVALUE(MID(D349,12,5))
</f>
        <v>46092.375</v>
      </c>
      <c r="I349" s="7">
        <f t="shared" si="350"/>
        <v>46093.20833</v>
      </c>
      <c r="J349" s="4">
        <f t="shared" si="3"/>
        <v>20</v>
      </c>
      <c r="K349" s="4" t="str">
        <f t="shared" si="4"/>
        <v>Within SLA</v>
      </c>
    </row>
    <row r="350">
      <c r="A350" s="1" t="s">
        <v>717</v>
      </c>
      <c r="B350" s="1" t="s">
        <v>11</v>
      </c>
      <c r="C350" s="1" t="s">
        <v>19</v>
      </c>
      <c r="D350" s="5">
        <v>46206.208333333336</v>
      </c>
      <c r="E350" s="5">
        <v>46237.0</v>
      </c>
      <c r="F350" s="6">
        <v>24.0</v>
      </c>
      <c r="G350" s="1" t="s">
        <v>14</v>
      </c>
      <c r="H350" s="7">
        <f t="shared" ref="H350:I350" si="351">DATE(MID(D350,7,4), MID(D350,4,2), LEFT(D350,2)) + TIMEVALUE(MID(D350,12,5))
</f>
        <v>46088.20833</v>
      </c>
      <c r="I350" s="7">
        <f t="shared" si="351"/>
        <v>46089</v>
      </c>
      <c r="J350" s="4">
        <f t="shared" si="3"/>
        <v>19</v>
      </c>
      <c r="K350" s="4" t="str">
        <f t="shared" si="4"/>
        <v>Within SLA</v>
      </c>
    </row>
    <row r="351">
      <c r="A351" s="1" t="s">
        <v>718</v>
      </c>
      <c r="B351" s="1" t="s">
        <v>34</v>
      </c>
      <c r="C351" s="1" t="s">
        <v>19</v>
      </c>
      <c r="D351" s="6" t="s">
        <v>21</v>
      </c>
      <c r="E351" s="6" t="s">
        <v>249</v>
      </c>
      <c r="F351" s="6">
        <v>24.0</v>
      </c>
      <c r="G351" s="1" t="s">
        <v>14</v>
      </c>
      <c r="H351" s="7">
        <f t="shared" ref="H351:I351" si="352">DATE(MID(D351,7,4), MID(D351,4,2), LEFT(D351,2)) + TIMEVALUE(MID(D351,12,5))
</f>
        <v>46070.625</v>
      </c>
      <c r="I351" s="7">
        <f t="shared" si="352"/>
        <v>46073.08333</v>
      </c>
      <c r="J351" s="4">
        <f t="shared" si="3"/>
        <v>59</v>
      </c>
      <c r="K351" s="4" t="str">
        <f t="shared" si="4"/>
        <v>Breached</v>
      </c>
    </row>
    <row r="352">
      <c r="A352" s="1" t="s">
        <v>719</v>
      </c>
      <c r="B352" s="1" t="s">
        <v>23</v>
      </c>
      <c r="C352" s="1" t="s">
        <v>12</v>
      </c>
      <c r="D352" s="5">
        <v>46025.208333333336</v>
      </c>
      <c r="E352" s="5">
        <v>46056.041666666664</v>
      </c>
      <c r="F352" s="6">
        <v>72.0</v>
      </c>
      <c r="G352" s="1" t="s">
        <v>14</v>
      </c>
      <c r="H352" s="7">
        <f t="shared" ref="H352:I352" si="353">DATE(MID(D352,7,4), MID(D352,4,2), LEFT(D352,2)) + TIMEVALUE(MID(D352,12,5))
</f>
        <v>46082.20833</v>
      </c>
      <c r="I352" s="7">
        <f t="shared" si="353"/>
        <v>46083.04167</v>
      </c>
      <c r="J352" s="4">
        <f t="shared" si="3"/>
        <v>20</v>
      </c>
      <c r="K352" s="4" t="str">
        <f t="shared" si="4"/>
        <v>Within SLA</v>
      </c>
    </row>
    <row r="353">
      <c r="A353" s="1" t="s">
        <v>720</v>
      </c>
      <c r="B353" s="1" t="s">
        <v>34</v>
      </c>
      <c r="C353" s="1" t="s">
        <v>19</v>
      </c>
      <c r="D353" s="6" t="s">
        <v>658</v>
      </c>
      <c r="E353" s="6" t="s">
        <v>721</v>
      </c>
      <c r="F353" s="6">
        <v>24.0</v>
      </c>
      <c r="G353" s="1" t="s">
        <v>14</v>
      </c>
      <c r="H353" s="7">
        <f t="shared" ref="H353:I353" si="354">DATE(MID(D353,7,4), MID(D353,4,2), LEFT(D353,2)) + TIMEVALUE(MID(D353,12,5))
</f>
        <v>46102.91667</v>
      </c>
      <c r="I353" s="7">
        <f t="shared" si="354"/>
        <v>46104.58333</v>
      </c>
      <c r="J353" s="4">
        <f t="shared" si="3"/>
        <v>40</v>
      </c>
      <c r="K353" s="4" t="str">
        <f t="shared" si="4"/>
        <v>Breached</v>
      </c>
    </row>
    <row r="354">
      <c r="A354" s="1" t="s">
        <v>722</v>
      </c>
      <c r="B354" s="1" t="s">
        <v>18</v>
      </c>
      <c r="C354" s="1" t="s">
        <v>35</v>
      </c>
      <c r="D354" s="6" t="s">
        <v>723</v>
      </c>
      <c r="E354" s="6" t="s">
        <v>655</v>
      </c>
      <c r="F354" s="6">
        <v>48.0</v>
      </c>
      <c r="G354" s="1" t="s">
        <v>14</v>
      </c>
      <c r="H354" s="7">
        <f t="shared" ref="H354:I354" si="355">DATE(MID(D354,7,4), MID(D354,4,2), LEFT(D354,2)) + TIMEVALUE(MID(D354,12,5))
</f>
        <v>46052.16667</v>
      </c>
      <c r="I354" s="7">
        <f t="shared" si="355"/>
        <v>46052.70833</v>
      </c>
      <c r="J354" s="4">
        <f t="shared" si="3"/>
        <v>13</v>
      </c>
      <c r="K354" s="4" t="str">
        <f t="shared" si="4"/>
        <v>Within SLA</v>
      </c>
    </row>
    <row r="355">
      <c r="A355" s="1" t="s">
        <v>724</v>
      </c>
      <c r="B355" s="1" t="s">
        <v>18</v>
      </c>
      <c r="C355" s="1" t="s">
        <v>35</v>
      </c>
      <c r="D355" s="5">
        <v>46328.5</v>
      </c>
      <c r="E355" s="5">
        <v>46358.208333333336</v>
      </c>
      <c r="F355" s="6">
        <v>48.0</v>
      </c>
      <c r="G355" s="1" t="s">
        <v>14</v>
      </c>
      <c r="H355" s="7">
        <f t="shared" ref="H355:I355" si="356">DATE(MID(D355,7,4), MID(D355,4,2), LEFT(D355,2)) + TIMEVALUE(MID(D355,12,5))
</f>
        <v>46064.5</v>
      </c>
      <c r="I355" s="7">
        <f t="shared" si="356"/>
        <v>46065.20833</v>
      </c>
      <c r="J355" s="4">
        <f t="shared" si="3"/>
        <v>17</v>
      </c>
      <c r="K355" s="4" t="str">
        <f t="shared" si="4"/>
        <v>Within SLA</v>
      </c>
    </row>
    <row r="356">
      <c r="A356" s="1" t="s">
        <v>725</v>
      </c>
      <c r="B356" s="1" t="s">
        <v>11</v>
      </c>
      <c r="C356" s="1" t="s">
        <v>35</v>
      </c>
      <c r="D356" s="5">
        <v>46358.916666666664</v>
      </c>
      <c r="E356" s="6" t="s">
        <v>20</v>
      </c>
      <c r="F356" s="6">
        <v>48.0</v>
      </c>
      <c r="G356" s="1" t="s">
        <v>14</v>
      </c>
      <c r="H356" s="7">
        <f t="shared" ref="H356:I356" si="357">DATE(MID(D356,7,4), MID(D356,4,2), LEFT(D356,2)) + TIMEVALUE(MID(D356,12,5))
</f>
        <v>46065.91667</v>
      </c>
      <c r="I356" s="7">
        <f t="shared" si="357"/>
        <v>46069.45833</v>
      </c>
      <c r="J356" s="4">
        <f t="shared" si="3"/>
        <v>85</v>
      </c>
      <c r="K356" s="4" t="str">
        <f t="shared" si="4"/>
        <v>Breached</v>
      </c>
    </row>
    <row r="357">
      <c r="A357" s="1" t="s">
        <v>726</v>
      </c>
      <c r="B357" s="1" t="s">
        <v>11</v>
      </c>
      <c r="C357" s="1" t="s">
        <v>12</v>
      </c>
      <c r="D357" s="6" t="s">
        <v>361</v>
      </c>
      <c r="E357" s="5">
        <v>46056.458333333336</v>
      </c>
      <c r="F357" s="6">
        <v>72.0</v>
      </c>
      <c r="G357" s="1" t="s">
        <v>14</v>
      </c>
      <c r="H357" s="7">
        <f t="shared" ref="H357:I357" si="358">DATE(MID(D357,7,4), MID(D357,4,2), LEFT(D357,2)) + TIMEVALUE(MID(D357,12,5))
</f>
        <v>46081.25</v>
      </c>
      <c r="I357" s="7">
        <f t="shared" si="358"/>
        <v>46083.45833</v>
      </c>
      <c r="J357" s="4">
        <f t="shared" si="3"/>
        <v>53</v>
      </c>
      <c r="K357" s="4" t="str">
        <f t="shared" si="4"/>
        <v>Within SLA</v>
      </c>
    </row>
    <row r="358">
      <c r="A358" s="1" t="s">
        <v>727</v>
      </c>
      <c r="B358" s="1" t="s">
        <v>23</v>
      </c>
      <c r="C358" s="1" t="s">
        <v>19</v>
      </c>
      <c r="D358" s="5">
        <v>46236.625</v>
      </c>
      <c r="E358" s="5">
        <v>46328.958333333336</v>
      </c>
      <c r="F358" s="6">
        <v>24.0</v>
      </c>
      <c r="G358" s="1" t="s">
        <v>14</v>
      </c>
      <c r="H358" s="7">
        <f t="shared" ref="H358:I358" si="359">DATE(MID(D358,7,4), MID(D358,4,2), LEFT(D358,2)) + TIMEVALUE(MID(D358,12,5))
</f>
        <v>46061.625</v>
      </c>
      <c r="I358" s="7">
        <f t="shared" si="359"/>
        <v>46064.95833</v>
      </c>
      <c r="J358" s="4">
        <f t="shared" si="3"/>
        <v>80</v>
      </c>
      <c r="K358" s="4" t="str">
        <f t="shared" si="4"/>
        <v>Breached</v>
      </c>
    </row>
    <row r="359">
      <c r="A359" s="1" t="s">
        <v>728</v>
      </c>
      <c r="B359" s="1" t="s">
        <v>18</v>
      </c>
      <c r="C359" s="1" t="s">
        <v>12</v>
      </c>
      <c r="D359" s="5">
        <v>46084.0</v>
      </c>
      <c r="E359" s="5">
        <v>46176.625</v>
      </c>
      <c r="F359" s="6">
        <v>72.0</v>
      </c>
      <c r="G359" s="1" t="s">
        <v>14</v>
      </c>
      <c r="H359" s="7">
        <f t="shared" ref="H359:I359" si="360">DATE(MID(D359,7,4), MID(D359,4,2), LEFT(D359,2)) + TIMEVALUE(MID(D359,12,5))
</f>
        <v>46084</v>
      </c>
      <c r="I359" s="7">
        <f t="shared" si="360"/>
        <v>46087.625</v>
      </c>
      <c r="J359" s="4">
        <f t="shared" si="3"/>
        <v>87</v>
      </c>
      <c r="K359" s="4" t="str">
        <f t="shared" si="4"/>
        <v>Breached</v>
      </c>
    </row>
    <row r="360">
      <c r="A360" s="1" t="s">
        <v>729</v>
      </c>
      <c r="B360" s="1" t="s">
        <v>23</v>
      </c>
      <c r="C360" s="1" t="s">
        <v>19</v>
      </c>
      <c r="D360" s="6" t="s">
        <v>730</v>
      </c>
      <c r="E360" s="6" t="s">
        <v>731</v>
      </c>
      <c r="F360" s="6">
        <v>24.0</v>
      </c>
      <c r="G360" s="1" t="s">
        <v>14</v>
      </c>
      <c r="H360" s="7">
        <f t="shared" ref="H360:I360" si="361">DATE(MID(D360,7,4), MID(D360,4,2), LEFT(D360,2)) + TIMEVALUE(MID(D360,12,5))
</f>
        <v>46049</v>
      </c>
      <c r="I360" s="7">
        <f t="shared" si="361"/>
        <v>46052.125</v>
      </c>
      <c r="J360" s="4">
        <f t="shared" si="3"/>
        <v>75</v>
      </c>
      <c r="K360" s="4" t="str">
        <f t="shared" si="4"/>
        <v>Breached</v>
      </c>
    </row>
    <row r="361">
      <c r="A361" s="1" t="s">
        <v>732</v>
      </c>
      <c r="B361" s="1" t="s">
        <v>18</v>
      </c>
      <c r="C361" s="1" t="s">
        <v>19</v>
      </c>
      <c r="D361" s="5">
        <v>46357.375</v>
      </c>
      <c r="E361" s="6" t="s">
        <v>733</v>
      </c>
      <c r="F361" s="6">
        <v>24.0</v>
      </c>
      <c r="G361" s="1" t="s">
        <v>14</v>
      </c>
      <c r="H361" s="7">
        <f t="shared" ref="H361:I361" si="362">DATE(MID(D361,7,4), MID(D361,4,2), LEFT(D361,2)) + TIMEVALUE(MID(D361,12,5))
</f>
        <v>46034.375</v>
      </c>
      <c r="I361" s="7">
        <f t="shared" si="362"/>
        <v>46037.79167</v>
      </c>
      <c r="J361" s="4">
        <f t="shared" si="3"/>
        <v>82</v>
      </c>
      <c r="K361" s="4" t="str">
        <f t="shared" si="4"/>
        <v>Breached</v>
      </c>
    </row>
    <row r="362">
      <c r="A362" s="1" t="s">
        <v>734</v>
      </c>
      <c r="B362" s="1" t="s">
        <v>34</v>
      </c>
      <c r="C362" s="1" t="s">
        <v>12</v>
      </c>
      <c r="D362" s="6" t="s">
        <v>735</v>
      </c>
      <c r="E362" s="6" t="s">
        <v>736</v>
      </c>
      <c r="F362" s="6">
        <v>72.0</v>
      </c>
      <c r="G362" s="1" t="s">
        <v>14</v>
      </c>
      <c r="H362" s="7">
        <f t="shared" ref="H362:I362" si="363">DATE(MID(D362,7,4), MID(D362,4,2), LEFT(D362,2)) + TIMEVALUE(MID(D362,12,5))
</f>
        <v>46047.79167</v>
      </c>
      <c r="I362" s="7">
        <f t="shared" si="363"/>
        <v>46050.08333</v>
      </c>
      <c r="J362" s="4">
        <f t="shared" si="3"/>
        <v>55</v>
      </c>
      <c r="K362" s="4" t="str">
        <f t="shared" si="4"/>
        <v>Within SLA</v>
      </c>
    </row>
    <row r="363">
      <c r="A363" s="1" t="s">
        <v>737</v>
      </c>
      <c r="B363" s="1" t="s">
        <v>18</v>
      </c>
      <c r="C363" s="1" t="s">
        <v>19</v>
      </c>
      <c r="D363" s="5">
        <v>46298.083333333336</v>
      </c>
      <c r="E363" s="5">
        <v>46298.666666666664</v>
      </c>
      <c r="F363" s="6">
        <v>24.0</v>
      </c>
      <c r="G363" s="1" t="s">
        <v>14</v>
      </c>
      <c r="H363" s="7">
        <f t="shared" ref="H363:I363" si="364">DATE(MID(D363,7,4), MID(D363,4,2), LEFT(D363,2)) + TIMEVALUE(MID(D363,12,5))
</f>
        <v>46091.08333</v>
      </c>
      <c r="I363" s="7">
        <f t="shared" si="364"/>
        <v>46091.66667</v>
      </c>
      <c r="J363" s="4">
        <f t="shared" si="3"/>
        <v>14</v>
      </c>
      <c r="K363" s="4" t="str">
        <f t="shared" si="4"/>
        <v>Within SLA</v>
      </c>
    </row>
    <row r="364">
      <c r="A364" s="1" t="s">
        <v>738</v>
      </c>
      <c r="B364" s="1" t="s">
        <v>18</v>
      </c>
      <c r="C364" s="1" t="s">
        <v>35</v>
      </c>
      <c r="D364" s="5">
        <v>46113.375</v>
      </c>
      <c r="E364" s="5">
        <v>46113.958333333336</v>
      </c>
      <c r="F364" s="6">
        <v>48.0</v>
      </c>
      <c r="G364" s="1" t="s">
        <v>14</v>
      </c>
      <c r="H364" s="7">
        <f t="shared" ref="H364:I364" si="365">DATE(MID(D364,7,4), MID(D364,4,2), LEFT(D364,2)) + TIMEVALUE(MID(D364,12,5))
</f>
        <v>46026.375</v>
      </c>
      <c r="I364" s="7">
        <f t="shared" si="365"/>
        <v>46026.95833</v>
      </c>
      <c r="J364" s="4">
        <f t="shared" si="3"/>
        <v>14</v>
      </c>
      <c r="K364" s="4" t="str">
        <f t="shared" si="4"/>
        <v>Within SLA</v>
      </c>
    </row>
    <row r="365">
      <c r="A365" s="1" t="s">
        <v>739</v>
      </c>
      <c r="B365" s="1" t="s">
        <v>11</v>
      </c>
      <c r="C365" s="1" t="s">
        <v>35</v>
      </c>
      <c r="D365" s="6" t="s">
        <v>167</v>
      </c>
      <c r="E365" s="6" t="s">
        <v>740</v>
      </c>
      <c r="F365" s="6">
        <v>48.0</v>
      </c>
      <c r="G365" s="1" t="s">
        <v>14</v>
      </c>
      <c r="H365" s="7">
        <f t="shared" ref="H365:I365" si="366">DATE(MID(D365,7,4), MID(D365,4,2), LEFT(D365,2)) + TIMEVALUE(MID(D365,12,5))
</f>
        <v>46049.08333</v>
      </c>
      <c r="I365" s="7">
        <f t="shared" si="366"/>
        <v>46049.91667</v>
      </c>
      <c r="J365" s="4">
        <f t="shared" si="3"/>
        <v>20</v>
      </c>
      <c r="K365" s="4" t="str">
        <f t="shared" si="4"/>
        <v>Within SLA</v>
      </c>
    </row>
    <row r="366">
      <c r="A366" s="1" t="s">
        <v>741</v>
      </c>
      <c r="B366" s="1" t="s">
        <v>23</v>
      </c>
      <c r="C366" s="1" t="s">
        <v>19</v>
      </c>
      <c r="D366" s="6" t="s">
        <v>742</v>
      </c>
      <c r="E366" s="6" t="s">
        <v>312</v>
      </c>
      <c r="F366" s="6">
        <v>24.0</v>
      </c>
      <c r="G366" s="1" t="s">
        <v>14</v>
      </c>
      <c r="H366" s="7">
        <f t="shared" ref="H366:I366" si="367">DATE(MID(D366,7,4), MID(D366,4,2), LEFT(D366,2)) + TIMEVALUE(MID(D366,12,5))
</f>
        <v>46071.625</v>
      </c>
      <c r="I366" s="7">
        <f t="shared" si="367"/>
        <v>46072.5</v>
      </c>
      <c r="J366" s="4">
        <f t="shared" si="3"/>
        <v>21</v>
      </c>
      <c r="K366" s="4" t="str">
        <f t="shared" si="4"/>
        <v>Within SLA</v>
      </c>
    </row>
    <row r="367">
      <c r="A367" s="1" t="s">
        <v>743</v>
      </c>
      <c r="B367" s="1" t="s">
        <v>23</v>
      </c>
      <c r="C367" s="1" t="s">
        <v>35</v>
      </c>
      <c r="D367" s="5">
        <v>46358.041666666664</v>
      </c>
      <c r="E367" s="6" t="s">
        <v>744</v>
      </c>
      <c r="F367" s="6">
        <v>48.0</v>
      </c>
      <c r="G367" s="1" t="s">
        <v>14</v>
      </c>
      <c r="H367" s="7">
        <f t="shared" ref="H367:I367" si="368">DATE(MID(D367,7,4), MID(D367,4,2), LEFT(D367,2)) + TIMEVALUE(MID(D367,12,5))
</f>
        <v>46065.04167</v>
      </c>
      <c r="I367" s="7">
        <f t="shared" si="368"/>
        <v>46067.16667</v>
      </c>
      <c r="J367" s="4">
        <f t="shared" si="3"/>
        <v>51</v>
      </c>
      <c r="K367" s="4" t="str">
        <f t="shared" si="4"/>
        <v>Breached</v>
      </c>
    </row>
    <row r="368">
      <c r="A368" s="1" t="s">
        <v>745</v>
      </c>
      <c r="B368" s="1" t="s">
        <v>11</v>
      </c>
      <c r="C368" s="1" t="s">
        <v>19</v>
      </c>
      <c r="D368" s="6" t="s">
        <v>746</v>
      </c>
      <c r="E368" s="6" t="s">
        <v>657</v>
      </c>
      <c r="F368" s="6">
        <v>24.0</v>
      </c>
      <c r="G368" s="1" t="s">
        <v>14</v>
      </c>
      <c r="H368" s="7">
        <f t="shared" ref="H368:I368" si="369">DATE(MID(D368,7,4), MID(D368,4,2), LEFT(D368,2)) + TIMEVALUE(MID(D368,12,5))
</f>
        <v>46100.5</v>
      </c>
      <c r="I368" s="7">
        <f t="shared" si="369"/>
        <v>46102.29167</v>
      </c>
      <c r="J368" s="4">
        <f t="shared" si="3"/>
        <v>43</v>
      </c>
      <c r="K368" s="4" t="str">
        <f t="shared" si="4"/>
        <v>Breached</v>
      </c>
    </row>
    <row r="369">
      <c r="A369" s="1" t="s">
        <v>747</v>
      </c>
      <c r="B369" s="1" t="s">
        <v>34</v>
      </c>
      <c r="C369" s="1" t="s">
        <v>35</v>
      </c>
      <c r="D369" s="6" t="s">
        <v>748</v>
      </c>
      <c r="E369" s="6" t="s">
        <v>749</v>
      </c>
      <c r="F369" s="6">
        <v>48.0</v>
      </c>
      <c r="G369" s="1" t="s">
        <v>14</v>
      </c>
      <c r="H369" s="7">
        <f t="shared" ref="H369:I369" si="370">DATE(MID(D369,7,4), MID(D369,4,2), LEFT(D369,2)) + TIMEVALUE(MID(D369,12,5))
</f>
        <v>46100.16667</v>
      </c>
      <c r="I369" s="7">
        <f t="shared" si="370"/>
        <v>46102.20833</v>
      </c>
      <c r="J369" s="4">
        <f t="shared" si="3"/>
        <v>49</v>
      </c>
      <c r="K369" s="4" t="str">
        <f t="shared" si="4"/>
        <v>Breached</v>
      </c>
    </row>
    <row r="370">
      <c r="A370" s="1" t="s">
        <v>750</v>
      </c>
      <c r="B370" s="1" t="s">
        <v>34</v>
      </c>
      <c r="C370" s="1" t="s">
        <v>35</v>
      </c>
      <c r="D370" s="5">
        <v>46297.458333333336</v>
      </c>
      <c r="E370" s="5">
        <v>46358.541666666664</v>
      </c>
      <c r="F370" s="6">
        <v>48.0</v>
      </c>
      <c r="G370" s="1" t="s">
        <v>14</v>
      </c>
      <c r="H370" s="7">
        <f t="shared" ref="H370:I370" si="371">DATE(MID(D370,7,4), MID(D370,4,2), LEFT(D370,2)) + TIMEVALUE(MID(D370,12,5))
</f>
        <v>46063.45833</v>
      </c>
      <c r="I370" s="7">
        <f t="shared" si="371"/>
        <v>46065.54167</v>
      </c>
      <c r="J370" s="4">
        <f t="shared" si="3"/>
        <v>50</v>
      </c>
      <c r="K370" s="4" t="str">
        <f t="shared" si="4"/>
        <v>Breached</v>
      </c>
    </row>
    <row r="371">
      <c r="A371" s="1" t="s">
        <v>751</v>
      </c>
      <c r="B371" s="1" t="s">
        <v>11</v>
      </c>
      <c r="C371" s="1" t="s">
        <v>35</v>
      </c>
      <c r="D371" s="6" t="s">
        <v>752</v>
      </c>
      <c r="E371" s="6" t="s">
        <v>400</v>
      </c>
      <c r="F371" s="6">
        <v>48.0</v>
      </c>
      <c r="G371" s="1" t="s">
        <v>14</v>
      </c>
      <c r="H371" s="7">
        <f t="shared" ref="H371:I371" si="372">DATE(MID(D371,7,4), MID(D371,4,2), LEFT(D371,2)) + TIMEVALUE(MID(D371,12,5))
</f>
        <v>46045.70833</v>
      </c>
      <c r="I371" s="7">
        <f t="shared" si="372"/>
        <v>46048.33333</v>
      </c>
      <c r="J371" s="4">
        <f t="shared" si="3"/>
        <v>63</v>
      </c>
      <c r="K371" s="4" t="str">
        <f t="shared" si="4"/>
        <v>Breached</v>
      </c>
    </row>
    <row r="372">
      <c r="A372" s="1" t="s">
        <v>753</v>
      </c>
      <c r="B372" s="1" t="s">
        <v>11</v>
      </c>
      <c r="C372" s="1" t="s">
        <v>35</v>
      </c>
      <c r="D372" s="6" t="s">
        <v>688</v>
      </c>
      <c r="E372" s="6" t="s">
        <v>754</v>
      </c>
      <c r="F372" s="6">
        <v>48.0</v>
      </c>
      <c r="G372" s="1" t="s">
        <v>14</v>
      </c>
      <c r="H372" s="7">
        <f t="shared" ref="H372:I372" si="373">DATE(MID(D372,7,4), MID(D372,4,2), LEFT(D372,2)) + TIMEVALUE(MID(D372,12,5))
</f>
        <v>46074.95833</v>
      </c>
      <c r="I372" s="7">
        <f t="shared" si="373"/>
        <v>46078</v>
      </c>
      <c r="J372" s="4">
        <f t="shared" si="3"/>
        <v>73</v>
      </c>
      <c r="K372" s="4" t="str">
        <f t="shared" si="4"/>
        <v>Breached</v>
      </c>
    </row>
    <row r="373">
      <c r="A373" s="1" t="s">
        <v>755</v>
      </c>
      <c r="B373" s="1" t="s">
        <v>11</v>
      </c>
      <c r="C373" s="1" t="s">
        <v>19</v>
      </c>
      <c r="D373" s="5">
        <v>46235.958333333336</v>
      </c>
      <c r="E373" s="5">
        <v>46327.75</v>
      </c>
      <c r="F373" s="6">
        <v>24.0</v>
      </c>
      <c r="G373" s="1" t="s">
        <v>14</v>
      </c>
      <c r="H373" s="7">
        <f t="shared" ref="H373:I373" si="374">DATE(MID(D373,7,4), MID(D373,4,2), LEFT(D373,2)) + TIMEVALUE(MID(D373,12,5))
</f>
        <v>46030.95833</v>
      </c>
      <c r="I373" s="7">
        <f t="shared" si="374"/>
        <v>46033.75</v>
      </c>
      <c r="J373" s="4">
        <f t="shared" si="3"/>
        <v>67</v>
      </c>
      <c r="K373" s="4" t="str">
        <f t="shared" si="4"/>
        <v>Breached</v>
      </c>
    </row>
    <row r="374">
      <c r="A374" s="1" t="s">
        <v>756</v>
      </c>
      <c r="B374" s="1" t="s">
        <v>18</v>
      </c>
      <c r="C374" s="1" t="s">
        <v>35</v>
      </c>
      <c r="D374" s="6" t="s">
        <v>552</v>
      </c>
      <c r="E374" s="6" t="s">
        <v>757</v>
      </c>
      <c r="F374" s="6">
        <v>48.0</v>
      </c>
      <c r="G374" s="1" t="s">
        <v>14</v>
      </c>
      <c r="H374" s="7">
        <f t="shared" ref="H374:I374" si="375">DATE(MID(D374,7,4), MID(D374,4,2), LEFT(D374,2)) + TIMEVALUE(MID(D374,12,5))
</f>
        <v>46071.95833</v>
      </c>
      <c r="I374" s="7">
        <f t="shared" si="375"/>
        <v>46075.79167</v>
      </c>
      <c r="J374" s="4">
        <f t="shared" si="3"/>
        <v>92</v>
      </c>
      <c r="K374" s="4" t="str">
        <f t="shared" si="4"/>
        <v>Breached</v>
      </c>
    </row>
    <row r="375">
      <c r="A375" s="1" t="s">
        <v>758</v>
      </c>
      <c r="B375" s="1" t="s">
        <v>11</v>
      </c>
      <c r="C375" s="1" t="s">
        <v>12</v>
      </c>
      <c r="D375" s="5">
        <v>46204.375</v>
      </c>
      <c r="E375" s="5">
        <v>46327.083333333336</v>
      </c>
      <c r="F375" s="6">
        <v>72.0</v>
      </c>
      <c r="G375" s="1" t="s">
        <v>14</v>
      </c>
      <c r="H375" s="7">
        <f t="shared" ref="H375:I375" si="376">DATE(MID(D375,7,4), MID(D375,4,2), LEFT(D375,2)) + TIMEVALUE(MID(D375,12,5))
</f>
        <v>46029.375</v>
      </c>
      <c r="I375" s="7">
        <f t="shared" si="376"/>
        <v>46033.08333</v>
      </c>
      <c r="J375" s="4">
        <f t="shared" si="3"/>
        <v>89</v>
      </c>
      <c r="K375" s="4" t="str">
        <f t="shared" si="4"/>
        <v>Breached</v>
      </c>
    </row>
    <row r="376">
      <c r="A376" s="1" t="s">
        <v>759</v>
      </c>
      <c r="B376" s="1" t="s">
        <v>23</v>
      </c>
      <c r="C376" s="1" t="s">
        <v>19</v>
      </c>
      <c r="D376" s="5">
        <v>46144.916666666664</v>
      </c>
      <c r="E376" s="5">
        <v>46236.416666666664</v>
      </c>
      <c r="F376" s="6">
        <v>24.0</v>
      </c>
      <c r="G376" s="1" t="s">
        <v>14</v>
      </c>
      <c r="H376" s="7">
        <f t="shared" ref="H376:I376" si="377">DATE(MID(D376,7,4), MID(D376,4,2), LEFT(D376,2)) + TIMEVALUE(MID(D376,12,5))
</f>
        <v>46058.91667</v>
      </c>
      <c r="I376" s="7">
        <f t="shared" si="377"/>
        <v>46061.41667</v>
      </c>
      <c r="J376" s="4">
        <f t="shared" si="3"/>
        <v>60</v>
      </c>
      <c r="K376" s="4" t="str">
        <f t="shared" si="4"/>
        <v>Breached</v>
      </c>
    </row>
    <row r="377">
      <c r="A377" s="1" t="s">
        <v>760</v>
      </c>
      <c r="B377" s="1" t="s">
        <v>16</v>
      </c>
      <c r="C377" s="1" t="s">
        <v>12</v>
      </c>
      <c r="D377" s="5">
        <v>46357.166666666664</v>
      </c>
      <c r="E377" s="6" t="s">
        <v>761</v>
      </c>
      <c r="F377" s="6">
        <v>72.0</v>
      </c>
      <c r="G377" s="1" t="s">
        <v>14</v>
      </c>
      <c r="H377" s="7">
        <f t="shared" ref="H377:I377" si="378">DATE(MID(D377,7,4), MID(D377,4,2), LEFT(D377,2)) + TIMEVALUE(MID(D377,12,5))
</f>
        <v>46034.16667</v>
      </c>
      <c r="I377" s="7">
        <f t="shared" si="378"/>
        <v>46037.20833</v>
      </c>
      <c r="J377" s="4">
        <f t="shared" si="3"/>
        <v>73</v>
      </c>
      <c r="K377" s="4" t="str">
        <f t="shared" si="4"/>
        <v>Breached</v>
      </c>
    </row>
    <row r="378">
      <c r="A378" s="1" t="s">
        <v>762</v>
      </c>
      <c r="B378" s="1" t="s">
        <v>16</v>
      </c>
      <c r="C378" s="1" t="s">
        <v>19</v>
      </c>
      <c r="D378" s="6" t="s">
        <v>763</v>
      </c>
      <c r="E378" s="5">
        <v>46025.791666666664</v>
      </c>
      <c r="F378" s="6">
        <v>24.0</v>
      </c>
      <c r="G378" s="1" t="s">
        <v>14</v>
      </c>
      <c r="H378" s="7">
        <f t="shared" ref="H378:I378" si="379">DATE(MID(D378,7,4), MID(D378,4,2), LEFT(D378,2)) + TIMEVALUE(MID(D378,12,5))
</f>
        <v>46079.66667</v>
      </c>
      <c r="I378" s="7">
        <f t="shared" si="379"/>
        <v>46082.79167</v>
      </c>
      <c r="J378" s="4">
        <f t="shared" si="3"/>
        <v>75</v>
      </c>
      <c r="K378" s="4" t="str">
        <f t="shared" si="4"/>
        <v>Breached</v>
      </c>
    </row>
    <row r="379">
      <c r="A379" s="1" t="s">
        <v>764</v>
      </c>
      <c r="B379" s="1" t="s">
        <v>18</v>
      </c>
      <c r="C379" s="1" t="s">
        <v>35</v>
      </c>
      <c r="D379" s="6" t="s">
        <v>765</v>
      </c>
      <c r="E379" s="6" t="s">
        <v>766</v>
      </c>
      <c r="F379" s="6">
        <v>48.0</v>
      </c>
      <c r="G379" s="1" t="s">
        <v>14</v>
      </c>
      <c r="H379" s="7">
        <f t="shared" ref="H379:I379" si="380">DATE(MID(D379,7,4), MID(D379,4,2), LEFT(D379,2)) + TIMEVALUE(MID(D379,12,5))
</f>
        <v>46069.875</v>
      </c>
      <c r="I379" s="7">
        <f t="shared" si="380"/>
        <v>46070.58333</v>
      </c>
      <c r="J379" s="4">
        <f t="shared" si="3"/>
        <v>17</v>
      </c>
      <c r="K379" s="4" t="str">
        <f t="shared" si="4"/>
        <v>Within SLA</v>
      </c>
    </row>
    <row r="380">
      <c r="A380" s="1" t="s">
        <v>767</v>
      </c>
      <c r="B380" s="1" t="s">
        <v>16</v>
      </c>
      <c r="C380" s="1" t="s">
        <v>12</v>
      </c>
      <c r="D380" s="5">
        <v>46204.583333333336</v>
      </c>
      <c r="E380" s="5">
        <v>46296.25</v>
      </c>
      <c r="F380" s="6">
        <v>72.0</v>
      </c>
      <c r="G380" s="1" t="s">
        <v>14</v>
      </c>
      <c r="H380" s="7">
        <f t="shared" ref="H380:I380" si="381">DATE(MID(D380,7,4), MID(D380,4,2), LEFT(D380,2)) + TIMEVALUE(MID(D380,12,5))
</f>
        <v>46029.58333</v>
      </c>
      <c r="I380" s="7">
        <f t="shared" si="381"/>
        <v>46032.25</v>
      </c>
      <c r="J380" s="4">
        <f t="shared" si="3"/>
        <v>64</v>
      </c>
      <c r="K380" s="4" t="str">
        <f t="shared" si="4"/>
        <v>Within SLA</v>
      </c>
    </row>
    <row r="381">
      <c r="A381" s="1" t="s">
        <v>768</v>
      </c>
      <c r="B381" s="1" t="s">
        <v>16</v>
      </c>
      <c r="C381" s="1" t="s">
        <v>12</v>
      </c>
      <c r="D381" s="6" t="s">
        <v>201</v>
      </c>
      <c r="E381" s="6" t="s">
        <v>769</v>
      </c>
      <c r="F381" s="6">
        <v>72.0</v>
      </c>
      <c r="G381" s="1" t="s">
        <v>14</v>
      </c>
      <c r="H381" s="7">
        <f t="shared" ref="H381:I381" si="382">DATE(MID(D381,7,4), MID(D381,4,2), LEFT(D381,2)) + TIMEVALUE(MID(D381,12,5))
</f>
        <v>46102.83333</v>
      </c>
      <c r="I381" s="7">
        <f t="shared" si="382"/>
        <v>46106.04167</v>
      </c>
      <c r="J381" s="4">
        <f t="shared" si="3"/>
        <v>77</v>
      </c>
      <c r="K381" s="4" t="str">
        <f t="shared" si="4"/>
        <v>Breached</v>
      </c>
    </row>
    <row r="382">
      <c r="A382" s="1" t="s">
        <v>770</v>
      </c>
      <c r="B382" s="1" t="s">
        <v>11</v>
      </c>
      <c r="C382" s="1" t="s">
        <v>35</v>
      </c>
      <c r="D382" s="6" t="s">
        <v>771</v>
      </c>
      <c r="E382" s="6" t="s">
        <v>772</v>
      </c>
      <c r="F382" s="6">
        <v>48.0</v>
      </c>
      <c r="G382" s="1" t="s">
        <v>14</v>
      </c>
      <c r="H382" s="7">
        <f t="shared" ref="H382:I382" si="383">DATE(MID(D382,7,4), MID(D382,4,2), LEFT(D382,2)) + TIMEVALUE(MID(D382,12,5))
</f>
        <v>46038.20833</v>
      </c>
      <c r="I382" s="7">
        <f t="shared" si="383"/>
        <v>46041.33333</v>
      </c>
      <c r="J382" s="4">
        <f t="shared" si="3"/>
        <v>75</v>
      </c>
      <c r="K382" s="4" t="str">
        <f t="shared" si="4"/>
        <v>Breached</v>
      </c>
    </row>
    <row r="383">
      <c r="A383" s="1" t="s">
        <v>773</v>
      </c>
      <c r="B383" s="1" t="s">
        <v>18</v>
      </c>
      <c r="C383" s="1" t="s">
        <v>19</v>
      </c>
      <c r="D383" s="6" t="s">
        <v>591</v>
      </c>
      <c r="E383" s="6" t="s">
        <v>774</v>
      </c>
      <c r="F383" s="6">
        <v>24.0</v>
      </c>
      <c r="G383" s="1" t="s">
        <v>14</v>
      </c>
      <c r="H383" s="7">
        <f t="shared" ref="H383:I383" si="384">DATE(MID(D383,7,4), MID(D383,4,2), LEFT(D383,2)) + TIMEVALUE(MID(D383,12,5))
</f>
        <v>46049.375</v>
      </c>
      <c r="I383" s="7">
        <f t="shared" si="384"/>
        <v>46052.29167</v>
      </c>
      <c r="J383" s="4">
        <f t="shared" si="3"/>
        <v>70</v>
      </c>
      <c r="K383" s="4" t="str">
        <f t="shared" si="4"/>
        <v>Breached</v>
      </c>
    </row>
    <row r="384">
      <c r="A384" s="1" t="s">
        <v>775</v>
      </c>
      <c r="B384" s="1" t="s">
        <v>11</v>
      </c>
      <c r="C384" s="1" t="s">
        <v>35</v>
      </c>
      <c r="D384" s="6" t="s">
        <v>137</v>
      </c>
      <c r="E384" s="6" t="s">
        <v>691</v>
      </c>
      <c r="F384" s="6">
        <v>48.0</v>
      </c>
      <c r="G384" s="1" t="s">
        <v>14</v>
      </c>
      <c r="H384" s="7">
        <f t="shared" ref="H384:I384" si="385">DATE(MID(D384,7,4), MID(D384,4,2), LEFT(D384,2)) + TIMEVALUE(MID(D384,12,5))
</f>
        <v>46099.25</v>
      </c>
      <c r="I384" s="7">
        <f t="shared" si="385"/>
        <v>46101.66667</v>
      </c>
      <c r="J384" s="4">
        <f t="shared" si="3"/>
        <v>58</v>
      </c>
      <c r="K384" s="4" t="str">
        <f t="shared" si="4"/>
        <v>Breached</v>
      </c>
    </row>
    <row r="385">
      <c r="A385" s="1" t="s">
        <v>776</v>
      </c>
      <c r="B385" s="1" t="s">
        <v>16</v>
      </c>
      <c r="C385" s="1" t="s">
        <v>19</v>
      </c>
      <c r="D385" s="5">
        <v>46267.0</v>
      </c>
      <c r="E385" s="5">
        <v>46328.416666666664</v>
      </c>
      <c r="F385" s="6">
        <v>24.0</v>
      </c>
      <c r="G385" s="1" t="s">
        <v>14</v>
      </c>
      <c r="H385" s="7">
        <f t="shared" ref="H385:I385" si="386">DATE(MID(D385,7,4), MID(D385,4,2), LEFT(D385,2)) + TIMEVALUE(MID(D385,12,5))
</f>
        <v>46062</v>
      </c>
      <c r="I385" s="7">
        <f t="shared" si="386"/>
        <v>46064.41667</v>
      </c>
      <c r="J385" s="4">
        <f t="shared" si="3"/>
        <v>58</v>
      </c>
      <c r="K385" s="4" t="str">
        <f t="shared" si="4"/>
        <v>Breached</v>
      </c>
    </row>
    <row r="386">
      <c r="A386" s="1" t="s">
        <v>777</v>
      </c>
      <c r="B386" s="1" t="s">
        <v>23</v>
      </c>
      <c r="C386" s="1" t="s">
        <v>12</v>
      </c>
      <c r="D386" s="6" t="s">
        <v>778</v>
      </c>
      <c r="E386" s="6" t="s">
        <v>90</v>
      </c>
      <c r="F386" s="6">
        <v>72.0</v>
      </c>
      <c r="G386" s="1" t="s">
        <v>14</v>
      </c>
      <c r="H386" s="7">
        <f t="shared" ref="H386:I386" si="387">DATE(MID(D386,7,4), MID(D386,4,2), LEFT(D386,2)) + TIMEVALUE(MID(D386,12,5))
</f>
        <v>46047</v>
      </c>
      <c r="I386" s="7">
        <f t="shared" si="387"/>
        <v>46050.45833</v>
      </c>
      <c r="J386" s="4">
        <f t="shared" si="3"/>
        <v>83</v>
      </c>
      <c r="K386" s="4" t="str">
        <f t="shared" si="4"/>
        <v>Breached</v>
      </c>
    </row>
    <row r="387">
      <c r="A387" s="1" t="s">
        <v>779</v>
      </c>
      <c r="B387" s="1" t="s">
        <v>34</v>
      </c>
      <c r="C387" s="1" t="s">
        <v>35</v>
      </c>
      <c r="D387" s="6" t="s">
        <v>772</v>
      </c>
      <c r="E387" s="6" t="s">
        <v>780</v>
      </c>
      <c r="F387" s="6">
        <v>48.0</v>
      </c>
      <c r="G387" s="1" t="s">
        <v>14</v>
      </c>
      <c r="H387" s="7">
        <f t="shared" ref="H387:I387" si="388">DATE(MID(D387,7,4), MID(D387,4,2), LEFT(D387,2)) + TIMEVALUE(MID(D387,12,5))
</f>
        <v>46041.33333</v>
      </c>
      <c r="I387" s="7">
        <f t="shared" si="388"/>
        <v>46045.125</v>
      </c>
      <c r="J387" s="4">
        <f t="shared" si="3"/>
        <v>91</v>
      </c>
      <c r="K387" s="4" t="str">
        <f t="shared" si="4"/>
        <v>Breached</v>
      </c>
    </row>
    <row r="388">
      <c r="A388" s="1" t="s">
        <v>781</v>
      </c>
      <c r="B388" s="1" t="s">
        <v>11</v>
      </c>
      <c r="C388" s="1" t="s">
        <v>35</v>
      </c>
      <c r="D388" s="6" t="s">
        <v>396</v>
      </c>
      <c r="E388" s="6" t="s">
        <v>782</v>
      </c>
      <c r="F388" s="6">
        <v>48.0</v>
      </c>
      <c r="G388" s="1" t="s">
        <v>14</v>
      </c>
      <c r="H388" s="7">
        <f t="shared" ref="H388:I388" si="389">DATE(MID(D388,7,4), MID(D388,4,2), LEFT(D388,2)) + TIMEVALUE(MID(D388,12,5))
</f>
        <v>46070.66667</v>
      </c>
      <c r="I388" s="7">
        <f t="shared" si="389"/>
        <v>46073.29167</v>
      </c>
      <c r="J388" s="4">
        <f t="shared" si="3"/>
        <v>63</v>
      </c>
      <c r="K388" s="4" t="str">
        <f t="shared" si="4"/>
        <v>Breached</v>
      </c>
    </row>
    <row r="389">
      <c r="A389" s="1" t="s">
        <v>783</v>
      </c>
      <c r="B389" s="1" t="s">
        <v>16</v>
      </c>
      <c r="C389" s="1" t="s">
        <v>12</v>
      </c>
      <c r="D389" s="6" t="s">
        <v>784</v>
      </c>
      <c r="E389" s="6" t="s">
        <v>785</v>
      </c>
      <c r="F389" s="6">
        <v>72.0</v>
      </c>
      <c r="G389" s="1" t="s">
        <v>14</v>
      </c>
      <c r="H389" s="7">
        <f t="shared" ref="H389:I389" si="390">DATE(MID(D389,7,4), MID(D389,4,2), LEFT(D389,2)) + TIMEVALUE(MID(D389,12,5))
</f>
        <v>46094.125</v>
      </c>
      <c r="I389" s="7">
        <f t="shared" si="390"/>
        <v>46097.08333</v>
      </c>
      <c r="J389" s="4">
        <f t="shared" si="3"/>
        <v>71</v>
      </c>
      <c r="K389" s="4" t="str">
        <f t="shared" si="4"/>
        <v>Within SLA</v>
      </c>
    </row>
    <row r="390">
      <c r="A390" s="1" t="s">
        <v>786</v>
      </c>
      <c r="B390" s="1" t="s">
        <v>16</v>
      </c>
      <c r="C390" s="1" t="s">
        <v>19</v>
      </c>
      <c r="D390" s="6" t="s">
        <v>693</v>
      </c>
      <c r="E390" s="6" t="s">
        <v>787</v>
      </c>
      <c r="F390" s="6">
        <v>24.0</v>
      </c>
      <c r="G390" s="1" t="s">
        <v>14</v>
      </c>
      <c r="H390" s="7">
        <f t="shared" ref="H390:I390" si="391">DATE(MID(D390,7,4), MID(D390,4,2), LEFT(D390,2)) + TIMEVALUE(MID(D390,12,5))
</f>
        <v>46104.91667</v>
      </c>
      <c r="I390" s="7">
        <f t="shared" si="391"/>
        <v>46107.04167</v>
      </c>
      <c r="J390" s="4">
        <f t="shared" si="3"/>
        <v>51</v>
      </c>
      <c r="K390" s="4" t="str">
        <f t="shared" si="4"/>
        <v>Breached</v>
      </c>
    </row>
    <row r="391">
      <c r="A391" s="1" t="s">
        <v>788</v>
      </c>
      <c r="B391" s="1" t="s">
        <v>34</v>
      </c>
      <c r="C391" s="1" t="s">
        <v>19</v>
      </c>
      <c r="D391" s="5">
        <v>46054.5</v>
      </c>
      <c r="E391" s="5">
        <v>46174.0</v>
      </c>
      <c r="F391" s="6">
        <v>24.0</v>
      </c>
      <c r="G391" s="1" t="s">
        <v>14</v>
      </c>
      <c r="H391" s="7">
        <f t="shared" ref="H391:I391" si="392">DATE(MID(D391,7,4), MID(D391,4,2), LEFT(D391,2)) + TIMEVALUE(MID(D391,12,5))
</f>
        <v>46024.5</v>
      </c>
      <c r="I391" s="7">
        <f t="shared" si="392"/>
        <v>46028</v>
      </c>
      <c r="J391" s="4">
        <f t="shared" si="3"/>
        <v>84</v>
      </c>
      <c r="K391" s="4" t="str">
        <f t="shared" si="4"/>
        <v>Breached</v>
      </c>
    </row>
    <row r="392">
      <c r="A392" s="1" t="s">
        <v>789</v>
      </c>
      <c r="B392" s="1" t="s">
        <v>11</v>
      </c>
      <c r="C392" s="1" t="s">
        <v>19</v>
      </c>
      <c r="D392" s="6" t="s">
        <v>198</v>
      </c>
      <c r="E392" s="6" t="s">
        <v>165</v>
      </c>
      <c r="F392" s="6">
        <v>24.0</v>
      </c>
      <c r="G392" s="1" t="s">
        <v>14</v>
      </c>
      <c r="H392" s="7">
        <f t="shared" ref="H392:I392" si="393">DATE(MID(D392,7,4), MID(D392,4,2), LEFT(D392,2)) + TIMEVALUE(MID(D392,12,5))
</f>
        <v>46099.66667</v>
      </c>
      <c r="I392" s="7">
        <f t="shared" si="393"/>
        <v>46100.20833</v>
      </c>
      <c r="J392" s="4">
        <f t="shared" si="3"/>
        <v>13</v>
      </c>
      <c r="K392" s="4" t="str">
        <f t="shared" si="4"/>
        <v>Within SLA</v>
      </c>
    </row>
    <row r="393">
      <c r="A393" s="1" t="s">
        <v>790</v>
      </c>
      <c r="B393" s="1" t="s">
        <v>11</v>
      </c>
      <c r="C393" s="1" t="s">
        <v>12</v>
      </c>
      <c r="D393" s="6" t="s">
        <v>224</v>
      </c>
      <c r="E393" s="5">
        <v>46056.25</v>
      </c>
      <c r="F393" s="6">
        <v>72.0</v>
      </c>
      <c r="G393" s="1" t="s">
        <v>14</v>
      </c>
      <c r="H393" s="7">
        <f t="shared" ref="H393:I393" si="394">DATE(MID(D393,7,4), MID(D393,4,2), LEFT(D393,2)) + TIMEVALUE(MID(D393,12,5))
</f>
        <v>46079.45833</v>
      </c>
      <c r="I393" s="7">
        <f t="shared" si="394"/>
        <v>46083.25</v>
      </c>
      <c r="J393" s="4">
        <f t="shared" si="3"/>
        <v>91</v>
      </c>
      <c r="K393" s="4" t="str">
        <f t="shared" si="4"/>
        <v>Breached</v>
      </c>
    </row>
    <row r="394">
      <c r="A394" s="1" t="s">
        <v>791</v>
      </c>
      <c r="B394" s="1" t="s">
        <v>34</v>
      </c>
      <c r="C394" s="1" t="s">
        <v>35</v>
      </c>
      <c r="D394" s="6" t="s">
        <v>792</v>
      </c>
      <c r="E394" s="6" t="s">
        <v>290</v>
      </c>
      <c r="F394" s="6">
        <v>48.0</v>
      </c>
      <c r="G394" s="1" t="s">
        <v>14</v>
      </c>
      <c r="H394" s="7">
        <f t="shared" ref="H394:I394" si="395">DATE(MID(D394,7,4), MID(D394,4,2), LEFT(D394,2)) + TIMEVALUE(MID(D394,12,5))
</f>
        <v>46104.54167</v>
      </c>
      <c r="I394" s="7">
        <f t="shared" si="395"/>
        <v>46105.04167</v>
      </c>
      <c r="J394" s="4">
        <f t="shared" si="3"/>
        <v>12</v>
      </c>
      <c r="K394" s="4" t="str">
        <f t="shared" si="4"/>
        <v>Within SLA</v>
      </c>
    </row>
    <row r="395">
      <c r="A395" s="1" t="s">
        <v>793</v>
      </c>
      <c r="B395" s="1" t="s">
        <v>34</v>
      </c>
      <c r="C395" s="1" t="s">
        <v>19</v>
      </c>
      <c r="D395" s="5">
        <v>46298.458333333336</v>
      </c>
      <c r="E395" s="5">
        <v>46329.125</v>
      </c>
      <c r="F395" s="6">
        <v>24.0</v>
      </c>
      <c r="G395" s="1" t="s">
        <v>14</v>
      </c>
      <c r="H395" s="7">
        <f t="shared" ref="H395:I395" si="396">DATE(MID(D395,7,4), MID(D395,4,2), LEFT(D395,2)) + TIMEVALUE(MID(D395,12,5))
</f>
        <v>46091.45833</v>
      </c>
      <c r="I395" s="7">
        <f t="shared" si="396"/>
        <v>46092.125</v>
      </c>
      <c r="J395" s="4">
        <f t="shared" si="3"/>
        <v>16</v>
      </c>
      <c r="K395" s="4" t="str">
        <f t="shared" si="4"/>
        <v>Within SLA</v>
      </c>
    </row>
    <row r="396">
      <c r="A396" s="1" t="s">
        <v>794</v>
      </c>
      <c r="B396" s="1" t="s">
        <v>18</v>
      </c>
      <c r="C396" s="1" t="s">
        <v>35</v>
      </c>
      <c r="D396" s="5">
        <v>46024.541666666664</v>
      </c>
      <c r="E396" s="5">
        <v>46055.125</v>
      </c>
      <c r="F396" s="6">
        <v>48.0</v>
      </c>
      <c r="G396" s="1" t="s">
        <v>14</v>
      </c>
      <c r="H396" s="7">
        <f t="shared" ref="H396:I396" si="397">DATE(MID(D396,7,4), MID(D396,4,2), LEFT(D396,2)) + TIMEVALUE(MID(D396,12,5))
</f>
        <v>46054.54167</v>
      </c>
      <c r="I396" s="7">
        <f t="shared" si="397"/>
        <v>46055.125</v>
      </c>
      <c r="J396" s="4">
        <f t="shared" si="3"/>
        <v>14</v>
      </c>
      <c r="K396" s="4" t="str">
        <f t="shared" si="4"/>
        <v>Within SLA</v>
      </c>
    </row>
    <row r="397">
      <c r="A397" s="1" t="s">
        <v>795</v>
      </c>
      <c r="B397" s="1" t="s">
        <v>34</v>
      </c>
      <c r="C397" s="1" t="s">
        <v>12</v>
      </c>
      <c r="D397" s="6" t="s">
        <v>74</v>
      </c>
      <c r="E397" s="6" t="s">
        <v>140</v>
      </c>
      <c r="F397" s="6">
        <v>72.0</v>
      </c>
      <c r="G397" s="1" t="s">
        <v>14</v>
      </c>
      <c r="H397" s="7">
        <f t="shared" ref="H397:I397" si="398">DATE(MID(D397,7,4), MID(D397,4,2), LEFT(D397,2)) + TIMEVALUE(MID(D397,12,5))
</f>
        <v>46073.83333</v>
      </c>
      <c r="I397" s="7">
        <f t="shared" si="398"/>
        <v>46074.33333</v>
      </c>
      <c r="J397" s="4">
        <f t="shared" si="3"/>
        <v>12</v>
      </c>
      <c r="K397" s="4" t="str">
        <f t="shared" si="4"/>
        <v>Within SLA</v>
      </c>
    </row>
    <row r="398">
      <c r="A398" s="1" t="s">
        <v>796</v>
      </c>
      <c r="B398" s="1" t="s">
        <v>23</v>
      </c>
      <c r="C398" s="1" t="s">
        <v>12</v>
      </c>
      <c r="D398" s="6" t="s">
        <v>797</v>
      </c>
      <c r="E398" s="6" t="s">
        <v>281</v>
      </c>
      <c r="F398" s="6">
        <v>72.0</v>
      </c>
      <c r="G398" s="1" t="s">
        <v>14</v>
      </c>
      <c r="H398" s="7">
        <f t="shared" ref="H398:I398" si="399">DATE(MID(D398,7,4), MID(D398,4,2), LEFT(D398,2)) + TIMEVALUE(MID(D398,12,5))
</f>
        <v>46101.08333</v>
      </c>
      <c r="I398" s="7">
        <f t="shared" si="399"/>
        <v>46103.125</v>
      </c>
      <c r="J398" s="4">
        <f t="shared" si="3"/>
        <v>49</v>
      </c>
      <c r="K398" s="4" t="str">
        <f t="shared" si="4"/>
        <v>Within SLA</v>
      </c>
    </row>
    <row r="399">
      <c r="A399" s="1" t="s">
        <v>798</v>
      </c>
      <c r="B399" s="1" t="s">
        <v>18</v>
      </c>
      <c r="C399" s="1" t="s">
        <v>35</v>
      </c>
      <c r="D399" s="6" t="s">
        <v>799</v>
      </c>
      <c r="E399" s="6" t="s">
        <v>800</v>
      </c>
      <c r="F399" s="6">
        <v>48.0</v>
      </c>
      <c r="G399" s="1" t="s">
        <v>14</v>
      </c>
      <c r="H399" s="7">
        <f t="shared" ref="H399:I399" si="400">DATE(MID(D399,7,4), MID(D399,4,2), LEFT(D399,2)) + TIMEVALUE(MID(D399,12,5))
</f>
        <v>46051.875</v>
      </c>
      <c r="I399" s="7">
        <f t="shared" si="400"/>
        <v>46052.91667</v>
      </c>
      <c r="J399" s="4">
        <f t="shared" si="3"/>
        <v>25</v>
      </c>
      <c r="K399" s="4" t="str">
        <f t="shared" si="4"/>
        <v>Within SLA</v>
      </c>
    </row>
    <row r="400">
      <c r="A400" s="1" t="s">
        <v>801</v>
      </c>
      <c r="B400" s="1" t="s">
        <v>16</v>
      </c>
      <c r="C400" s="1" t="s">
        <v>12</v>
      </c>
      <c r="D400" s="6" t="s">
        <v>802</v>
      </c>
      <c r="E400" s="6" t="s">
        <v>803</v>
      </c>
      <c r="F400" s="6">
        <v>72.0</v>
      </c>
      <c r="G400" s="1" t="s">
        <v>14</v>
      </c>
      <c r="H400" s="7">
        <f t="shared" ref="H400:I400" si="401">DATE(MID(D400,7,4), MID(D400,4,2), LEFT(D400,2)) + TIMEVALUE(MID(D400,12,5))
</f>
        <v>46094</v>
      </c>
      <c r="I400" s="7">
        <f t="shared" si="401"/>
        <v>46095.08333</v>
      </c>
      <c r="J400" s="4">
        <f t="shared" si="3"/>
        <v>26</v>
      </c>
      <c r="K400" s="4" t="str">
        <f t="shared" si="4"/>
        <v>Within SLA</v>
      </c>
    </row>
    <row r="401">
      <c r="A401" s="1" t="s">
        <v>804</v>
      </c>
      <c r="B401" s="1" t="s">
        <v>18</v>
      </c>
      <c r="C401" s="1" t="s">
        <v>12</v>
      </c>
      <c r="D401" s="5">
        <v>46297.625</v>
      </c>
      <c r="E401" s="6" t="s">
        <v>805</v>
      </c>
      <c r="F401" s="6">
        <v>72.0</v>
      </c>
      <c r="G401" s="1" t="s">
        <v>14</v>
      </c>
      <c r="H401" s="7">
        <f t="shared" ref="H401:I401" si="402">DATE(MID(D401,7,4), MID(D401,4,2), LEFT(D401,2)) + TIMEVALUE(MID(D401,12,5))
</f>
        <v>46063.625</v>
      </c>
      <c r="I401" s="7">
        <f t="shared" si="402"/>
        <v>46066.45833</v>
      </c>
      <c r="J401" s="4">
        <f t="shared" si="3"/>
        <v>68</v>
      </c>
      <c r="K401" s="4" t="str">
        <f t="shared" si="4"/>
        <v>Within SLA</v>
      </c>
    </row>
    <row r="402">
      <c r="A402" s="1" t="s">
        <v>806</v>
      </c>
      <c r="B402" s="1" t="s">
        <v>11</v>
      </c>
      <c r="C402" s="1" t="s">
        <v>12</v>
      </c>
      <c r="D402" s="5">
        <v>46267.791666666664</v>
      </c>
      <c r="E402" s="5">
        <v>46358.083333333336</v>
      </c>
      <c r="F402" s="6">
        <v>72.0</v>
      </c>
      <c r="G402" s="1" t="s">
        <v>14</v>
      </c>
      <c r="H402" s="7">
        <f t="shared" ref="H402:I402" si="403">DATE(MID(D402,7,4), MID(D402,4,2), LEFT(D402,2)) + TIMEVALUE(MID(D402,12,5))
</f>
        <v>46062.79167</v>
      </c>
      <c r="I402" s="7">
        <f t="shared" si="403"/>
        <v>46065.08333</v>
      </c>
      <c r="J402" s="4">
        <f t="shared" si="3"/>
        <v>55</v>
      </c>
      <c r="K402" s="4" t="str">
        <f t="shared" si="4"/>
        <v>Within SLA</v>
      </c>
    </row>
    <row r="403">
      <c r="A403" s="1" t="s">
        <v>807</v>
      </c>
      <c r="B403" s="1" t="s">
        <v>23</v>
      </c>
      <c r="C403" s="1" t="s">
        <v>35</v>
      </c>
      <c r="D403" s="6" t="s">
        <v>492</v>
      </c>
      <c r="E403" s="5">
        <v>46084.208333333336</v>
      </c>
      <c r="F403" s="6">
        <v>48.0</v>
      </c>
      <c r="G403" s="1" t="s">
        <v>14</v>
      </c>
      <c r="H403" s="7">
        <f t="shared" ref="H403:I403" si="404">DATE(MID(D403,7,4), MID(D403,4,2), LEFT(D403,2)) + TIMEVALUE(MID(D403,12,5))
</f>
        <v>46080.20833</v>
      </c>
      <c r="I403" s="7">
        <f t="shared" si="404"/>
        <v>46084.20833</v>
      </c>
      <c r="J403" s="4">
        <f t="shared" si="3"/>
        <v>96</v>
      </c>
      <c r="K403" s="4" t="str">
        <f t="shared" si="4"/>
        <v>Breached</v>
      </c>
    </row>
    <row r="404">
      <c r="A404" s="1" t="s">
        <v>808</v>
      </c>
      <c r="B404" s="1" t="s">
        <v>16</v>
      </c>
      <c r="C404" s="1" t="s">
        <v>12</v>
      </c>
      <c r="D404" s="6" t="s">
        <v>690</v>
      </c>
      <c r="E404" s="6" t="s">
        <v>809</v>
      </c>
      <c r="F404" s="6">
        <v>72.0</v>
      </c>
      <c r="G404" s="1" t="s">
        <v>14</v>
      </c>
      <c r="H404" s="7">
        <f t="shared" ref="H404:I404" si="405">DATE(MID(D404,7,4), MID(D404,4,2), LEFT(D404,2)) + TIMEVALUE(MID(D404,12,5))
</f>
        <v>46099.79167</v>
      </c>
      <c r="I404" s="7">
        <f t="shared" si="405"/>
        <v>46102.45833</v>
      </c>
      <c r="J404" s="4">
        <f t="shared" si="3"/>
        <v>64</v>
      </c>
      <c r="K404" s="4" t="str">
        <f t="shared" si="4"/>
        <v>Within SLA</v>
      </c>
    </row>
    <row r="405">
      <c r="A405" s="1" t="s">
        <v>810</v>
      </c>
      <c r="B405" s="1" t="s">
        <v>11</v>
      </c>
      <c r="C405" s="1" t="s">
        <v>19</v>
      </c>
      <c r="D405" s="6" t="s">
        <v>811</v>
      </c>
      <c r="E405" s="6" t="s">
        <v>812</v>
      </c>
      <c r="F405" s="6">
        <v>24.0</v>
      </c>
      <c r="G405" s="1" t="s">
        <v>14</v>
      </c>
      <c r="H405" s="7">
        <f t="shared" ref="H405:I405" si="406">DATE(MID(D405,7,4), MID(D405,4,2), LEFT(D405,2)) + TIMEVALUE(MID(D405,12,5))
</f>
        <v>46100.83333</v>
      </c>
      <c r="I405" s="7">
        <f t="shared" si="406"/>
        <v>46104.66667</v>
      </c>
      <c r="J405" s="4">
        <f t="shared" si="3"/>
        <v>92</v>
      </c>
      <c r="K405" s="4" t="str">
        <f t="shared" si="4"/>
        <v>Breached</v>
      </c>
    </row>
    <row r="406">
      <c r="A406" s="1" t="s">
        <v>813</v>
      </c>
      <c r="B406" s="1" t="s">
        <v>23</v>
      </c>
      <c r="C406" s="1" t="s">
        <v>12</v>
      </c>
      <c r="D406" s="6" t="s">
        <v>418</v>
      </c>
      <c r="E406" s="6" t="s">
        <v>814</v>
      </c>
      <c r="F406" s="6">
        <v>72.0</v>
      </c>
      <c r="G406" s="1" t="s">
        <v>14</v>
      </c>
      <c r="H406" s="7">
        <f t="shared" ref="H406:I406" si="407">DATE(MID(D406,7,4), MID(D406,4,2), LEFT(D406,2)) + TIMEVALUE(MID(D406,12,5))
</f>
        <v>46076.5</v>
      </c>
      <c r="I406" s="7">
        <f t="shared" si="407"/>
        <v>46078.66667</v>
      </c>
      <c r="J406" s="4">
        <f t="shared" si="3"/>
        <v>52</v>
      </c>
      <c r="K406" s="4" t="str">
        <f t="shared" si="4"/>
        <v>Within SLA</v>
      </c>
    </row>
    <row r="407">
      <c r="A407" s="1" t="s">
        <v>815</v>
      </c>
      <c r="B407" s="1" t="s">
        <v>18</v>
      </c>
      <c r="C407" s="1" t="s">
        <v>19</v>
      </c>
      <c r="D407" s="6" t="s">
        <v>816</v>
      </c>
      <c r="E407" s="6" t="s">
        <v>400</v>
      </c>
      <c r="F407" s="6">
        <v>24.0</v>
      </c>
      <c r="G407" s="1" t="s">
        <v>14</v>
      </c>
      <c r="H407" s="7">
        <f t="shared" ref="H407:I407" si="408">DATE(MID(D407,7,4), MID(D407,4,2), LEFT(D407,2)) + TIMEVALUE(MID(D407,12,5))
</f>
        <v>46046.54167</v>
      </c>
      <c r="I407" s="7">
        <f t="shared" si="408"/>
        <v>46048.33333</v>
      </c>
      <c r="J407" s="4">
        <f t="shared" si="3"/>
        <v>43</v>
      </c>
      <c r="K407" s="4" t="str">
        <f t="shared" si="4"/>
        <v>Breached</v>
      </c>
    </row>
    <row r="408">
      <c r="A408" s="1" t="s">
        <v>817</v>
      </c>
      <c r="B408" s="1" t="s">
        <v>34</v>
      </c>
      <c r="C408" s="1" t="s">
        <v>35</v>
      </c>
      <c r="D408" s="6" t="s">
        <v>352</v>
      </c>
      <c r="E408" s="6" t="s">
        <v>356</v>
      </c>
      <c r="F408" s="6">
        <v>48.0</v>
      </c>
      <c r="G408" s="1" t="s">
        <v>14</v>
      </c>
      <c r="H408" s="7">
        <f t="shared" ref="H408:I408" si="409">DATE(MID(D408,7,4), MID(D408,4,2), LEFT(D408,2)) + TIMEVALUE(MID(D408,12,5))
</f>
        <v>46045.45833</v>
      </c>
      <c r="I408" s="7">
        <f t="shared" si="409"/>
        <v>46046.83333</v>
      </c>
      <c r="J408" s="4">
        <f t="shared" si="3"/>
        <v>33</v>
      </c>
      <c r="K408" s="4" t="str">
        <f t="shared" si="4"/>
        <v>Within SLA</v>
      </c>
    </row>
    <row r="409">
      <c r="A409" s="1" t="s">
        <v>818</v>
      </c>
      <c r="B409" s="1" t="s">
        <v>23</v>
      </c>
      <c r="C409" s="1" t="s">
        <v>35</v>
      </c>
      <c r="D409" s="5">
        <v>46359.666666666664</v>
      </c>
      <c r="E409" s="6" t="s">
        <v>819</v>
      </c>
      <c r="F409" s="6">
        <v>48.0</v>
      </c>
      <c r="G409" s="1" t="s">
        <v>14</v>
      </c>
      <c r="H409" s="7">
        <f t="shared" ref="H409:I409" si="410">DATE(MID(D409,7,4), MID(D409,4,2), LEFT(D409,2)) + TIMEVALUE(MID(D409,12,5))
</f>
        <v>46093.66667</v>
      </c>
      <c r="I409" s="7">
        <f t="shared" si="410"/>
        <v>46097.125</v>
      </c>
      <c r="J409" s="4">
        <f t="shared" si="3"/>
        <v>83</v>
      </c>
      <c r="K409" s="4" t="str">
        <f t="shared" si="4"/>
        <v>Breached</v>
      </c>
    </row>
    <row r="410">
      <c r="A410" s="1" t="s">
        <v>820</v>
      </c>
      <c r="B410" s="1" t="s">
        <v>23</v>
      </c>
      <c r="C410" s="1" t="s">
        <v>35</v>
      </c>
      <c r="D410" s="5">
        <v>46025.291666666664</v>
      </c>
      <c r="E410" s="5">
        <v>46145.0</v>
      </c>
      <c r="F410" s="6">
        <v>48.0</v>
      </c>
      <c r="G410" s="1" t="s">
        <v>14</v>
      </c>
      <c r="H410" s="7">
        <f t="shared" ref="H410:I410" si="411">DATE(MID(D410,7,4), MID(D410,4,2), LEFT(D410,2)) + TIMEVALUE(MID(D410,12,5))
</f>
        <v>46082.29167</v>
      </c>
      <c r="I410" s="7">
        <f t="shared" si="411"/>
        <v>46086</v>
      </c>
      <c r="J410" s="4">
        <f t="shared" si="3"/>
        <v>89</v>
      </c>
      <c r="K410" s="4" t="str">
        <f t="shared" si="4"/>
        <v>Breached</v>
      </c>
    </row>
    <row r="411">
      <c r="A411" s="1" t="s">
        <v>821</v>
      </c>
      <c r="B411" s="1" t="s">
        <v>18</v>
      </c>
      <c r="C411" s="1" t="s">
        <v>19</v>
      </c>
      <c r="D411" s="6" t="s">
        <v>822</v>
      </c>
      <c r="E411" s="6" t="s">
        <v>823</v>
      </c>
      <c r="F411" s="6">
        <v>24.0</v>
      </c>
      <c r="G411" s="1" t="s">
        <v>14</v>
      </c>
      <c r="H411" s="7">
        <f t="shared" ref="H411:I411" si="412">DATE(MID(D411,7,4), MID(D411,4,2), LEFT(D411,2)) + TIMEVALUE(MID(D411,12,5))
</f>
        <v>46095.33333</v>
      </c>
      <c r="I411" s="7">
        <f t="shared" si="412"/>
        <v>46095.91667</v>
      </c>
      <c r="J411" s="4">
        <f t="shared" si="3"/>
        <v>14</v>
      </c>
      <c r="K411" s="4" t="str">
        <f t="shared" si="4"/>
        <v>Within SLA</v>
      </c>
    </row>
    <row r="412">
      <c r="A412" s="1" t="s">
        <v>824</v>
      </c>
      <c r="B412" s="1" t="s">
        <v>16</v>
      </c>
      <c r="C412" s="1" t="s">
        <v>12</v>
      </c>
      <c r="D412" s="5">
        <v>46329.791666666664</v>
      </c>
      <c r="E412" s="6" t="s">
        <v>825</v>
      </c>
      <c r="F412" s="6">
        <v>72.0</v>
      </c>
      <c r="G412" s="1" t="s">
        <v>14</v>
      </c>
      <c r="H412" s="7">
        <f t="shared" ref="H412:I412" si="413">DATE(MID(D412,7,4), MID(D412,4,2), LEFT(D412,2)) + TIMEVALUE(MID(D412,12,5))
</f>
        <v>46092.79167</v>
      </c>
      <c r="I412" s="7">
        <f t="shared" si="413"/>
        <v>46095.25</v>
      </c>
      <c r="J412" s="4">
        <f t="shared" si="3"/>
        <v>59</v>
      </c>
      <c r="K412" s="4" t="str">
        <f t="shared" si="4"/>
        <v>Within SLA</v>
      </c>
    </row>
    <row r="413">
      <c r="A413" s="1" t="s">
        <v>826</v>
      </c>
      <c r="B413" s="1" t="s">
        <v>34</v>
      </c>
      <c r="C413" s="1" t="s">
        <v>12</v>
      </c>
      <c r="D413" s="6" t="s">
        <v>827</v>
      </c>
      <c r="E413" s="5">
        <v>46025.333333333336</v>
      </c>
      <c r="F413" s="6">
        <v>72.0</v>
      </c>
      <c r="G413" s="1" t="s">
        <v>14</v>
      </c>
      <c r="H413" s="7">
        <f t="shared" ref="H413:I413" si="414">DATE(MID(D413,7,4), MID(D413,4,2), LEFT(D413,2)) + TIMEVALUE(MID(D413,12,5))
</f>
        <v>46078.875</v>
      </c>
      <c r="I413" s="7">
        <f t="shared" si="414"/>
        <v>46082.33333</v>
      </c>
      <c r="J413" s="4">
        <f t="shared" si="3"/>
        <v>83</v>
      </c>
      <c r="K413" s="4" t="str">
        <f t="shared" si="4"/>
        <v>Breached</v>
      </c>
    </row>
    <row r="414">
      <c r="A414" s="1" t="s">
        <v>828</v>
      </c>
      <c r="B414" s="1" t="s">
        <v>23</v>
      </c>
      <c r="C414" s="1" t="s">
        <v>35</v>
      </c>
      <c r="D414" s="6" t="s">
        <v>829</v>
      </c>
      <c r="E414" s="6" t="s">
        <v>830</v>
      </c>
      <c r="F414" s="6">
        <v>48.0</v>
      </c>
      <c r="G414" s="1" t="s">
        <v>14</v>
      </c>
      <c r="H414" s="7">
        <f t="shared" ref="H414:I414" si="415">DATE(MID(D414,7,4), MID(D414,4,2), LEFT(D414,2)) + TIMEVALUE(MID(D414,12,5))
</f>
        <v>46073.70833</v>
      </c>
      <c r="I414" s="7">
        <f t="shared" si="415"/>
        <v>46074.66667</v>
      </c>
      <c r="J414" s="4">
        <f t="shared" si="3"/>
        <v>23</v>
      </c>
      <c r="K414" s="4" t="str">
        <f t="shared" si="4"/>
        <v>Within SLA</v>
      </c>
    </row>
    <row r="415">
      <c r="A415" s="1" t="s">
        <v>831</v>
      </c>
      <c r="B415" s="1" t="s">
        <v>18</v>
      </c>
      <c r="C415" s="1" t="s">
        <v>19</v>
      </c>
      <c r="D415" s="5">
        <v>46358.0</v>
      </c>
      <c r="E415" s="5">
        <v>46358.541666666664</v>
      </c>
      <c r="F415" s="6">
        <v>24.0</v>
      </c>
      <c r="G415" s="1" t="s">
        <v>14</v>
      </c>
      <c r="H415" s="7">
        <f t="shared" ref="H415:I415" si="416">DATE(MID(D415,7,4), MID(D415,4,2), LEFT(D415,2)) + TIMEVALUE(MID(D415,12,5))
</f>
        <v>46065</v>
      </c>
      <c r="I415" s="7">
        <f t="shared" si="416"/>
        <v>46065.54167</v>
      </c>
      <c r="J415" s="4">
        <f t="shared" si="3"/>
        <v>13</v>
      </c>
      <c r="K415" s="4" t="str">
        <f t="shared" si="4"/>
        <v>Within SLA</v>
      </c>
    </row>
    <row r="416">
      <c r="A416" s="1" t="s">
        <v>832</v>
      </c>
      <c r="B416" s="1" t="s">
        <v>18</v>
      </c>
      <c r="C416" s="1" t="s">
        <v>19</v>
      </c>
      <c r="D416" s="5">
        <v>46237.833333333336</v>
      </c>
      <c r="E416" s="5">
        <v>46268.708333333336</v>
      </c>
      <c r="F416" s="6">
        <v>24.0</v>
      </c>
      <c r="G416" s="1" t="s">
        <v>14</v>
      </c>
      <c r="H416" s="7">
        <f t="shared" ref="H416:I416" si="417">DATE(MID(D416,7,4), MID(D416,4,2), LEFT(D416,2)) + TIMEVALUE(MID(D416,12,5))
</f>
        <v>46089.83333</v>
      </c>
      <c r="I416" s="7">
        <f t="shared" si="417"/>
        <v>46090.70833</v>
      </c>
      <c r="J416" s="4">
        <f t="shared" si="3"/>
        <v>21</v>
      </c>
      <c r="K416" s="4" t="str">
        <f t="shared" si="4"/>
        <v>Within SLA</v>
      </c>
    </row>
    <row r="417">
      <c r="A417" s="1" t="s">
        <v>833</v>
      </c>
      <c r="B417" s="1" t="s">
        <v>18</v>
      </c>
      <c r="C417" s="1" t="s">
        <v>35</v>
      </c>
      <c r="D417" s="5">
        <v>46055.291666666664</v>
      </c>
      <c r="E417" s="5">
        <v>46083.666666666664</v>
      </c>
      <c r="F417" s="6">
        <v>48.0</v>
      </c>
      <c r="G417" s="1" t="s">
        <v>14</v>
      </c>
      <c r="H417" s="7">
        <f t="shared" ref="H417:I417" si="418">DATE(MID(D417,7,4), MID(D417,4,2), LEFT(D417,2)) + TIMEVALUE(MID(D417,12,5))
</f>
        <v>46055.29167</v>
      </c>
      <c r="I417" s="7">
        <f t="shared" si="418"/>
        <v>46056.66667</v>
      </c>
      <c r="J417" s="4">
        <f t="shared" si="3"/>
        <v>33</v>
      </c>
      <c r="K417" s="4" t="str">
        <f t="shared" si="4"/>
        <v>Within SLA</v>
      </c>
    </row>
    <row r="418">
      <c r="A418" s="1" t="s">
        <v>834</v>
      </c>
      <c r="B418" s="1" t="s">
        <v>11</v>
      </c>
      <c r="C418" s="1" t="s">
        <v>35</v>
      </c>
      <c r="D418" s="6" t="s">
        <v>43</v>
      </c>
      <c r="E418" s="6" t="s">
        <v>748</v>
      </c>
      <c r="F418" s="6">
        <v>48.0</v>
      </c>
      <c r="G418" s="1" t="s">
        <v>14</v>
      </c>
      <c r="H418" s="7">
        <f t="shared" ref="H418:I418" si="419">DATE(MID(D418,7,4), MID(D418,4,2), LEFT(D418,2)) + TIMEVALUE(MID(D418,12,5))
</f>
        <v>46097</v>
      </c>
      <c r="I418" s="7">
        <f t="shared" si="419"/>
        <v>46100.16667</v>
      </c>
      <c r="J418" s="4">
        <f t="shared" si="3"/>
        <v>76</v>
      </c>
      <c r="K418" s="4" t="str">
        <f t="shared" si="4"/>
        <v>Breached</v>
      </c>
    </row>
    <row r="419">
      <c r="A419" s="1" t="s">
        <v>835</v>
      </c>
      <c r="B419" s="1" t="s">
        <v>11</v>
      </c>
      <c r="C419" s="1" t="s">
        <v>35</v>
      </c>
      <c r="D419" s="6" t="s">
        <v>557</v>
      </c>
      <c r="E419" s="6" t="s">
        <v>389</v>
      </c>
      <c r="F419" s="6">
        <v>48.0</v>
      </c>
      <c r="G419" s="1" t="s">
        <v>14</v>
      </c>
      <c r="H419" s="7">
        <f t="shared" ref="H419:I419" si="420">DATE(MID(D419,7,4), MID(D419,4,2), LEFT(D419,2)) + TIMEVALUE(MID(D419,12,5))
</f>
        <v>46103.625</v>
      </c>
      <c r="I419" s="7">
        <f t="shared" si="420"/>
        <v>46105.08333</v>
      </c>
      <c r="J419" s="4">
        <f t="shared" si="3"/>
        <v>35</v>
      </c>
      <c r="K419" s="4" t="str">
        <f t="shared" si="4"/>
        <v>Within SLA</v>
      </c>
    </row>
    <row r="420">
      <c r="A420" s="1" t="s">
        <v>836</v>
      </c>
      <c r="B420" s="1" t="s">
        <v>18</v>
      </c>
      <c r="C420" s="1" t="s">
        <v>12</v>
      </c>
      <c r="D420" s="6" t="s">
        <v>522</v>
      </c>
      <c r="E420" s="6" t="s">
        <v>215</v>
      </c>
      <c r="F420" s="6">
        <v>72.0</v>
      </c>
      <c r="G420" s="1" t="s">
        <v>14</v>
      </c>
      <c r="H420" s="7">
        <f t="shared" ref="H420:I420" si="421">DATE(MID(D420,7,4), MID(D420,4,2), LEFT(D420,2)) + TIMEVALUE(MID(D420,12,5))
</f>
        <v>46052.08333</v>
      </c>
      <c r="I420" s="7">
        <f t="shared" si="421"/>
        <v>46052.79167</v>
      </c>
      <c r="J420" s="4">
        <f t="shared" si="3"/>
        <v>17</v>
      </c>
      <c r="K420" s="4" t="str">
        <f t="shared" si="4"/>
        <v>Within SLA</v>
      </c>
    </row>
    <row r="421">
      <c r="A421" s="1" t="s">
        <v>837</v>
      </c>
      <c r="B421" s="1" t="s">
        <v>34</v>
      </c>
      <c r="C421" s="1" t="s">
        <v>19</v>
      </c>
      <c r="D421" s="5">
        <v>46205.833333333336</v>
      </c>
      <c r="E421" s="5">
        <v>46267.75</v>
      </c>
      <c r="F421" s="6">
        <v>24.0</v>
      </c>
      <c r="G421" s="1" t="s">
        <v>14</v>
      </c>
      <c r="H421" s="7">
        <f t="shared" ref="H421:I421" si="422">DATE(MID(D421,7,4), MID(D421,4,2), LEFT(D421,2)) + TIMEVALUE(MID(D421,12,5))
</f>
        <v>46060.83333</v>
      </c>
      <c r="I421" s="7">
        <f t="shared" si="422"/>
        <v>46062.75</v>
      </c>
      <c r="J421" s="4">
        <f t="shared" si="3"/>
        <v>46</v>
      </c>
      <c r="K421" s="4" t="str">
        <f t="shared" si="4"/>
        <v>Breached</v>
      </c>
    </row>
    <row r="422">
      <c r="A422" s="1" t="s">
        <v>838</v>
      </c>
      <c r="B422" s="1" t="s">
        <v>34</v>
      </c>
      <c r="C422" s="1" t="s">
        <v>12</v>
      </c>
      <c r="D422" s="5">
        <v>46084.291666666664</v>
      </c>
      <c r="E422" s="5">
        <v>46115.333333333336</v>
      </c>
      <c r="F422" s="6">
        <v>72.0</v>
      </c>
      <c r="G422" s="1" t="s">
        <v>14</v>
      </c>
      <c r="H422" s="7">
        <f t="shared" ref="H422:I422" si="423">DATE(MID(D422,7,4), MID(D422,4,2), LEFT(D422,2)) + TIMEVALUE(MID(D422,12,5))
</f>
        <v>46084.29167</v>
      </c>
      <c r="I422" s="7">
        <f t="shared" si="423"/>
        <v>46085.33333</v>
      </c>
      <c r="J422" s="4">
        <f t="shared" si="3"/>
        <v>25</v>
      </c>
      <c r="K422" s="4" t="str">
        <f t="shared" si="4"/>
        <v>Within SLA</v>
      </c>
    </row>
    <row r="423">
      <c r="A423" s="1" t="s">
        <v>839</v>
      </c>
      <c r="B423" s="1" t="s">
        <v>11</v>
      </c>
      <c r="C423" s="1" t="s">
        <v>35</v>
      </c>
      <c r="D423" s="5">
        <v>46175.958333333336</v>
      </c>
      <c r="E423" s="5">
        <v>46236.833333333336</v>
      </c>
      <c r="F423" s="6">
        <v>48.0</v>
      </c>
      <c r="G423" s="1" t="s">
        <v>14</v>
      </c>
      <c r="H423" s="7">
        <f t="shared" ref="H423:I423" si="424">DATE(MID(D423,7,4), MID(D423,4,2), LEFT(D423,2)) + TIMEVALUE(MID(D423,12,5))
</f>
        <v>46059.95833</v>
      </c>
      <c r="I423" s="7">
        <f t="shared" si="424"/>
        <v>46061.83333</v>
      </c>
      <c r="J423" s="4">
        <f t="shared" si="3"/>
        <v>45</v>
      </c>
      <c r="K423" s="4" t="str">
        <f t="shared" si="4"/>
        <v>Within SLA</v>
      </c>
    </row>
    <row r="424">
      <c r="A424" s="1" t="s">
        <v>840</v>
      </c>
      <c r="B424" s="1" t="s">
        <v>23</v>
      </c>
      <c r="C424" s="1" t="s">
        <v>12</v>
      </c>
      <c r="D424" s="6" t="s">
        <v>841</v>
      </c>
      <c r="E424" s="6" t="s">
        <v>842</v>
      </c>
      <c r="F424" s="6">
        <v>72.0</v>
      </c>
      <c r="G424" s="1" t="s">
        <v>14</v>
      </c>
      <c r="H424" s="7">
        <f t="shared" ref="H424:I424" si="425">DATE(MID(D424,7,4), MID(D424,4,2), LEFT(D424,2)) + TIMEVALUE(MID(D424,12,5))
</f>
        <v>46066.29167</v>
      </c>
      <c r="I424" s="7">
        <f t="shared" si="425"/>
        <v>46070</v>
      </c>
      <c r="J424" s="4">
        <f t="shared" si="3"/>
        <v>89</v>
      </c>
      <c r="K424" s="4" t="str">
        <f t="shared" si="4"/>
        <v>Breached</v>
      </c>
    </row>
    <row r="425">
      <c r="A425" s="1" t="s">
        <v>843</v>
      </c>
      <c r="B425" s="1" t="s">
        <v>23</v>
      </c>
      <c r="C425" s="1" t="s">
        <v>19</v>
      </c>
      <c r="D425" s="5">
        <v>46237.875</v>
      </c>
      <c r="E425" s="5">
        <v>46329.125</v>
      </c>
      <c r="F425" s="6">
        <v>24.0</v>
      </c>
      <c r="G425" s="1" t="s">
        <v>14</v>
      </c>
      <c r="H425" s="7">
        <f t="shared" ref="H425:I425" si="426">DATE(MID(D425,7,4), MID(D425,4,2), LEFT(D425,2)) + TIMEVALUE(MID(D425,12,5))
</f>
        <v>46089.875</v>
      </c>
      <c r="I425" s="7">
        <f t="shared" si="426"/>
        <v>46092.125</v>
      </c>
      <c r="J425" s="4">
        <f t="shared" si="3"/>
        <v>54</v>
      </c>
      <c r="K425" s="4" t="str">
        <f t="shared" si="4"/>
        <v>Breached</v>
      </c>
    </row>
    <row r="426">
      <c r="A426" s="1" t="s">
        <v>844</v>
      </c>
      <c r="B426" s="1" t="s">
        <v>23</v>
      </c>
      <c r="C426" s="1" t="s">
        <v>19</v>
      </c>
      <c r="D426" s="6" t="s">
        <v>288</v>
      </c>
      <c r="E426" s="5">
        <v>46055.458333333336</v>
      </c>
      <c r="F426" s="6">
        <v>24.0</v>
      </c>
      <c r="G426" s="1" t="s">
        <v>14</v>
      </c>
      <c r="H426" s="7">
        <f t="shared" ref="H426:I426" si="427">DATE(MID(D426,7,4), MID(D426,4,2), LEFT(D426,2)) + TIMEVALUE(MID(D426,12,5))
</f>
        <v>46053.33333</v>
      </c>
      <c r="I426" s="7">
        <f t="shared" si="427"/>
        <v>46055.45833</v>
      </c>
      <c r="J426" s="4">
        <f t="shared" si="3"/>
        <v>51</v>
      </c>
      <c r="K426" s="4" t="str">
        <f t="shared" si="4"/>
        <v>Breached</v>
      </c>
    </row>
    <row r="427">
      <c r="A427" s="1" t="s">
        <v>845</v>
      </c>
      <c r="B427" s="1" t="s">
        <v>34</v>
      </c>
      <c r="C427" s="1" t="s">
        <v>35</v>
      </c>
      <c r="D427" s="5">
        <v>46084.166666666664</v>
      </c>
      <c r="E427" s="5">
        <v>46145.791666666664</v>
      </c>
      <c r="F427" s="6">
        <v>48.0</v>
      </c>
      <c r="G427" s="1" t="s">
        <v>14</v>
      </c>
      <c r="H427" s="7">
        <f t="shared" ref="H427:I427" si="428">DATE(MID(D427,7,4), MID(D427,4,2), LEFT(D427,2)) + TIMEVALUE(MID(D427,12,5))
</f>
        <v>46084.16667</v>
      </c>
      <c r="I427" s="7">
        <f t="shared" si="428"/>
        <v>46086.79167</v>
      </c>
      <c r="J427" s="4">
        <f t="shared" si="3"/>
        <v>63</v>
      </c>
      <c r="K427" s="4" t="str">
        <f t="shared" si="4"/>
        <v>Breached</v>
      </c>
    </row>
    <row r="428">
      <c r="A428" s="1" t="s">
        <v>846</v>
      </c>
      <c r="B428" s="1" t="s">
        <v>18</v>
      </c>
      <c r="C428" s="1" t="s">
        <v>12</v>
      </c>
      <c r="D428" s="6" t="s">
        <v>847</v>
      </c>
      <c r="E428" s="6" t="s">
        <v>848</v>
      </c>
      <c r="F428" s="6">
        <v>72.0</v>
      </c>
      <c r="G428" s="1" t="s">
        <v>14</v>
      </c>
      <c r="H428" s="7">
        <f t="shared" ref="H428:I428" si="429">DATE(MID(D428,7,4), MID(D428,4,2), LEFT(D428,2)) + TIMEVALUE(MID(D428,12,5))
</f>
        <v>46069.5</v>
      </c>
      <c r="I428" s="7">
        <f t="shared" si="429"/>
        <v>46070.5</v>
      </c>
      <c r="J428" s="4">
        <f t="shared" si="3"/>
        <v>24</v>
      </c>
      <c r="K428" s="4" t="str">
        <f t="shared" si="4"/>
        <v>Within SLA</v>
      </c>
    </row>
    <row r="429">
      <c r="A429" s="1" t="s">
        <v>849</v>
      </c>
      <c r="B429" s="1" t="s">
        <v>16</v>
      </c>
      <c r="C429" s="1" t="s">
        <v>35</v>
      </c>
      <c r="D429" s="5">
        <v>46268.875</v>
      </c>
      <c r="E429" s="5">
        <v>46359.375</v>
      </c>
      <c r="F429" s="6">
        <v>48.0</v>
      </c>
      <c r="G429" s="1" t="s">
        <v>14</v>
      </c>
      <c r="H429" s="7">
        <f t="shared" ref="H429:I429" si="430">DATE(MID(D429,7,4), MID(D429,4,2), LEFT(D429,2)) + TIMEVALUE(MID(D429,12,5))
</f>
        <v>46090.875</v>
      </c>
      <c r="I429" s="7">
        <f t="shared" si="430"/>
        <v>46093.375</v>
      </c>
      <c r="J429" s="4">
        <f t="shared" si="3"/>
        <v>60</v>
      </c>
      <c r="K429" s="4" t="str">
        <f t="shared" si="4"/>
        <v>Breached</v>
      </c>
    </row>
    <row r="430">
      <c r="A430" s="1" t="s">
        <v>850</v>
      </c>
      <c r="B430" s="1" t="s">
        <v>11</v>
      </c>
      <c r="C430" s="1" t="s">
        <v>19</v>
      </c>
      <c r="D430" s="6" t="s">
        <v>262</v>
      </c>
      <c r="E430" s="6" t="s">
        <v>631</v>
      </c>
      <c r="F430" s="6">
        <v>24.0</v>
      </c>
      <c r="G430" s="1" t="s">
        <v>14</v>
      </c>
      <c r="H430" s="7">
        <f t="shared" ref="H430:I430" si="431">DATE(MID(D430,7,4), MID(D430,4,2), LEFT(D430,2)) + TIMEVALUE(MID(D430,12,5))
</f>
        <v>46067.66667</v>
      </c>
      <c r="I430" s="7">
        <f t="shared" si="431"/>
        <v>46069.91667</v>
      </c>
      <c r="J430" s="4">
        <f t="shared" si="3"/>
        <v>54</v>
      </c>
      <c r="K430" s="4" t="str">
        <f t="shared" si="4"/>
        <v>Breached</v>
      </c>
    </row>
    <row r="431">
      <c r="A431" s="1" t="s">
        <v>851</v>
      </c>
      <c r="B431" s="1" t="s">
        <v>11</v>
      </c>
      <c r="C431" s="1" t="s">
        <v>19</v>
      </c>
      <c r="D431" s="5">
        <v>46176.375</v>
      </c>
      <c r="E431" s="5">
        <v>46206.791666666664</v>
      </c>
      <c r="F431" s="6">
        <v>24.0</v>
      </c>
      <c r="G431" s="1" t="s">
        <v>14</v>
      </c>
      <c r="H431" s="7">
        <f t="shared" ref="H431:I431" si="432">DATE(MID(D431,7,4), MID(D431,4,2), LEFT(D431,2)) + TIMEVALUE(MID(D431,12,5))
</f>
        <v>46087.375</v>
      </c>
      <c r="I431" s="7">
        <f t="shared" si="432"/>
        <v>46088.79167</v>
      </c>
      <c r="J431" s="4">
        <f t="shared" si="3"/>
        <v>34</v>
      </c>
      <c r="K431" s="4" t="str">
        <f t="shared" si="4"/>
        <v>Breached</v>
      </c>
    </row>
    <row r="432">
      <c r="A432" s="1" t="s">
        <v>852</v>
      </c>
      <c r="B432" s="1" t="s">
        <v>16</v>
      </c>
      <c r="C432" s="1" t="s">
        <v>19</v>
      </c>
      <c r="D432" s="5">
        <v>46359.541666666664</v>
      </c>
      <c r="E432" s="6" t="s">
        <v>853</v>
      </c>
      <c r="F432" s="6">
        <v>24.0</v>
      </c>
      <c r="G432" s="1" t="s">
        <v>14</v>
      </c>
      <c r="H432" s="7">
        <f t="shared" ref="H432:I432" si="433">DATE(MID(D432,7,4), MID(D432,4,2), LEFT(D432,2)) + TIMEVALUE(MID(D432,12,5))
</f>
        <v>46093.54167</v>
      </c>
      <c r="I432" s="7">
        <f t="shared" si="433"/>
        <v>46096.83333</v>
      </c>
      <c r="J432" s="4">
        <f t="shared" si="3"/>
        <v>79</v>
      </c>
      <c r="K432" s="4" t="str">
        <f t="shared" si="4"/>
        <v>Breached</v>
      </c>
    </row>
    <row r="433">
      <c r="A433" s="1" t="s">
        <v>854</v>
      </c>
      <c r="B433" s="1" t="s">
        <v>34</v>
      </c>
      <c r="C433" s="1" t="s">
        <v>12</v>
      </c>
      <c r="D433" s="6" t="s">
        <v>305</v>
      </c>
      <c r="E433" s="6" t="s">
        <v>446</v>
      </c>
      <c r="F433" s="6">
        <v>72.0</v>
      </c>
      <c r="G433" s="1" t="s">
        <v>14</v>
      </c>
      <c r="H433" s="7">
        <f t="shared" ref="H433:I433" si="434">DATE(MID(D433,7,4), MID(D433,4,2), LEFT(D433,2)) + TIMEVALUE(MID(D433,12,5))
</f>
        <v>46046.08333</v>
      </c>
      <c r="I433" s="7">
        <f t="shared" si="434"/>
        <v>46046.91667</v>
      </c>
      <c r="J433" s="4">
        <f t="shared" si="3"/>
        <v>20</v>
      </c>
      <c r="K433" s="4" t="str">
        <f t="shared" si="4"/>
        <v>Within SLA</v>
      </c>
    </row>
    <row r="434">
      <c r="A434" s="1" t="s">
        <v>855</v>
      </c>
      <c r="B434" s="1" t="s">
        <v>23</v>
      </c>
      <c r="C434" s="1" t="s">
        <v>12</v>
      </c>
      <c r="D434" s="5">
        <v>46204.583333333336</v>
      </c>
      <c r="E434" s="5">
        <v>46266.458333333336</v>
      </c>
      <c r="F434" s="6">
        <v>72.0</v>
      </c>
      <c r="G434" s="1" t="s">
        <v>14</v>
      </c>
      <c r="H434" s="7">
        <f t="shared" ref="H434:I434" si="435">DATE(MID(D434,7,4), MID(D434,4,2), LEFT(D434,2)) + TIMEVALUE(MID(D434,12,5))
</f>
        <v>46029.58333</v>
      </c>
      <c r="I434" s="7">
        <f t="shared" si="435"/>
        <v>46031.45833</v>
      </c>
      <c r="J434" s="4">
        <f t="shared" si="3"/>
        <v>45</v>
      </c>
      <c r="K434" s="4" t="str">
        <f t="shared" si="4"/>
        <v>Within SLA</v>
      </c>
    </row>
    <row r="435">
      <c r="A435" s="1" t="s">
        <v>856</v>
      </c>
      <c r="B435" s="1" t="s">
        <v>23</v>
      </c>
      <c r="C435" s="1" t="s">
        <v>12</v>
      </c>
      <c r="D435" s="5">
        <v>46025.416666666664</v>
      </c>
      <c r="E435" s="5">
        <v>46115.166666666664</v>
      </c>
      <c r="F435" s="6">
        <v>72.0</v>
      </c>
      <c r="G435" s="1" t="s">
        <v>14</v>
      </c>
      <c r="H435" s="7">
        <f t="shared" ref="H435:I435" si="436">DATE(MID(D435,7,4), MID(D435,4,2), LEFT(D435,2)) + TIMEVALUE(MID(D435,12,5))
</f>
        <v>46082.41667</v>
      </c>
      <c r="I435" s="7">
        <f t="shared" si="436"/>
        <v>46085.16667</v>
      </c>
      <c r="J435" s="4">
        <f t="shared" si="3"/>
        <v>66</v>
      </c>
      <c r="K435" s="4" t="str">
        <f t="shared" si="4"/>
        <v>Within SLA</v>
      </c>
    </row>
    <row r="436">
      <c r="A436" s="1" t="s">
        <v>857</v>
      </c>
      <c r="B436" s="1" t="s">
        <v>16</v>
      </c>
      <c r="C436" s="1" t="s">
        <v>35</v>
      </c>
      <c r="D436" s="6" t="s">
        <v>433</v>
      </c>
      <c r="E436" s="6" t="s">
        <v>858</v>
      </c>
      <c r="F436" s="6">
        <v>48.0</v>
      </c>
      <c r="G436" s="1" t="s">
        <v>14</v>
      </c>
      <c r="H436" s="7">
        <f t="shared" ref="H436:I436" si="437">DATE(MID(D436,7,4), MID(D436,4,2), LEFT(D436,2)) + TIMEVALUE(MID(D436,12,5))
</f>
        <v>46045.66667</v>
      </c>
      <c r="I436" s="7">
        <f t="shared" si="437"/>
        <v>46048.375</v>
      </c>
      <c r="J436" s="4">
        <f t="shared" si="3"/>
        <v>65</v>
      </c>
      <c r="K436" s="4" t="str">
        <f t="shared" si="4"/>
        <v>Breached</v>
      </c>
    </row>
    <row r="437">
      <c r="A437" s="1" t="s">
        <v>859</v>
      </c>
      <c r="B437" s="1" t="s">
        <v>11</v>
      </c>
      <c r="C437" s="1" t="s">
        <v>12</v>
      </c>
      <c r="D437" s="5">
        <v>46266.458333333336</v>
      </c>
      <c r="E437" s="5">
        <v>46327.458333333336</v>
      </c>
      <c r="F437" s="6">
        <v>72.0</v>
      </c>
      <c r="G437" s="1" t="s">
        <v>14</v>
      </c>
      <c r="H437" s="7">
        <f t="shared" ref="H437:I437" si="438">DATE(MID(D437,7,4), MID(D437,4,2), LEFT(D437,2)) + TIMEVALUE(MID(D437,12,5))
</f>
        <v>46031.45833</v>
      </c>
      <c r="I437" s="7">
        <f t="shared" si="438"/>
        <v>46033.45833</v>
      </c>
      <c r="J437" s="4">
        <f t="shared" si="3"/>
        <v>48</v>
      </c>
      <c r="K437" s="4" t="str">
        <f t="shared" si="4"/>
        <v>Within SLA</v>
      </c>
    </row>
    <row r="438">
      <c r="A438" s="1" t="s">
        <v>860</v>
      </c>
      <c r="B438" s="1" t="s">
        <v>23</v>
      </c>
      <c r="C438" s="1" t="s">
        <v>35</v>
      </c>
      <c r="D438" s="5">
        <v>46113.583333333336</v>
      </c>
      <c r="E438" s="5">
        <v>46204.875</v>
      </c>
      <c r="F438" s="6">
        <v>48.0</v>
      </c>
      <c r="G438" s="1" t="s">
        <v>14</v>
      </c>
      <c r="H438" s="7">
        <f t="shared" ref="H438:I438" si="439">DATE(MID(D438,7,4), MID(D438,4,2), LEFT(D438,2)) + TIMEVALUE(MID(D438,12,5))
</f>
        <v>46026.58333</v>
      </c>
      <c r="I438" s="7">
        <f t="shared" si="439"/>
        <v>46029.875</v>
      </c>
      <c r="J438" s="4">
        <f t="shared" si="3"/>
        <v>79</v>
      </c>
      <c r="K438" s="4" t="str">
        <f t="shared" si="4"/>
        <v>Breached</v>
      </c>
    </row>
    <row r="439">
      <c r="A439" s="1" t="s">
        <v>861</v>
      </c>
      <c r="B439" s="1" t="s">
        <v>34</v>
      </c>
      <c r="C439" s="1" t="s">
        <v>35</v>
      </c>
      <c r="D439" s="5">
        <v>46143.125</v>
      </c>
      <c r="E439" s="5">
        <v>46143.958333333336</v>
      </c>
      <c r="F439" s="6">
        <v>48.0</v>
      </c>
      <c r="G439" s="1" t="s">
        <v>14</v>
      </c>
      <c r="H439" s="7">
        <f t="shared" ref="H439:I439" si="440">DATE(MID(D439,7,4), MID(D439,4,2), LEFT(D439,2)) + TIMEVALUE(MID(D439,12,5))
</f>
        <v>46027.125</v>
      </c>
      <c r="I439" s="7">
        <f t="shared" si="440"/>
        <v>46027.95833</v>
      </c>
      <c r="J439" s="4">
        <f t="shared" si="3"/>
        <v>20</v>
      </c>
      <c r="K439" s="4" t="str">
        <f t="shared" si="4"/>
        <v>Within SLA</v>
      </c>
    </row>
    <row r="440">
      <c r="A440" s="1" t="s">
        <v>862</v>
      </c>
      <c r="B440" s="1" t="s">
        <v>16</v>
      </c>
      <c r="C440" s="1" t="s">
        <v>19</v>
      </c>
      <c r="D440" s="5">
        <v>46298.416666666664</v>
      </c>
      <c r="E440" s="5">
        <v>46329.166666666664</v>
      </c>
      <c r="F440" s="6">
        <v>24.0</v>
      </c>
      <c r="G440" s="1" t="s">
        <v>14</v>
      </c>
      <c r="H440" s="7">
        <f t="shared" ref="H440:I440" si="441">DATE(MID(D440,7,4), MID(D440,4,2), LEFT(D440,2)) + TIMEVALUE(MID(D440,12,5))
</f>
        <v>46091.41667</v>
      </c>
      <c r="I440" s="7">
        <f t="shared" si="441"/>
        <v>46092.16667</v>
      </c>
      <c r="J440" s="4">
        <f t="shared" si="3"/>
        <v>18</v>
      </c>
      <c r="K440" s="4" t="str">
        <f t="shared" si="4"/>
        <v>Within SLA</v>
      </c>
    </row>
    <row r="441">
      <c r="A441" s="1" t="s">
        <v>863</v>
      </c>
      <c r="B441" s="1" t="s">
        <v>23</v>
      </c>
      <c r="C441" s="1" t="s">
        <v>35</v>
      </c>
      <c r="D441" s="6" t="s">
        <v>864</v>
      </c>
      <c r="E441" s="6" t="s">
        <v>865</v>
      </c>
      <c r="F441" s="6">
        <v>48.0</v>
      </c>
      <c r="G441" s="1" t="s">
        <v>14</v>
      </c>
      <c r="H441" s="7">
        <f t="shared" ref="H441:I441" si="442">DATE(MID(D441,7,4), MID(D441,4,2), LEFT(D441,2)) + TIMEVALUE(MID(D441,12,5))
</f>
        <v>46103.79167</v>
      </c>
      <c r="I441" s="7">
        <f t="shared" si="442"/>
        <v>46106.83333</v>
      </c>
      <c r="J441" s="4">
        <f t="shared" si="3"/>
        <v>73</v>
      </c>
      <c r="K441" s="4" t="str">
        <f t="shared" si="4"/>
        <v>Breached</v>
      </c>
    </row>
    <row r="442">
      <c r="A442" s="1" t="s">
        <v>866</v>
      </c>
      <c r="B442" s="1" t="s">
        <v>23</v>
      </c>
      <c r="C442" s="1" t="s">
        <v>19</v>
      </c>
      <c r="D442" s="5">
        <v>46357.125</v>
      </c>
      <c r="E442" s="6" t="s">
        <v>867</v>
      </c>
      <c r="F442" s="6">
        <v>24.0</v>
      </c>
      <c r="G442" s="1" t="s">
        <v>14</v>
      </c>
      <c r="H442" s="7">
        <f t="shared" ref="H442:I442" si="443">DATE(MID(D442,7,4), MID(D442,4,2), LEFT(D442,2)) + TIMEVALUE(MID(D442,12,5))
</f>
        <v>46034.125</v>
      </c>
      <c r="I442" s="7">
        <f t="shared" si="443"/>
        <v>46038.04167</v>
      </c>
      <c r="J442" s="4">
        <f t="shared" si="3"/>
        <v>94</v>
      </c>
      <c r="K442" s="4" t="str">
        <f t="shared" si="4"/>
        <v>Breached</v>
      </c>
    </row>
    <row r="443">
      <c r="A443" s="1" t="s">
        <v>868</v>
      </c>
      <c r="B443" s="1" t="s">
        <v>16</v>
      </c>
      <c r="C443" s="1" t="s">
        <v>19</v>
      </c>
      <c r="D443" s="6" t="s">
        <v>869</v>
      </c>
      <c r="E443" s="6" t="s">
        <v>870</v>
      </c>
      <c r="F443" s="6">
        <v>24.0</v>
      </c>
      <c r="G443" s="1" t="s">
        <v>14</v>
      </c>
      <c r="H443" s="7">
        <f t="shared" ref="H443:I443" si="444">DATE(MID(D443,7,4), MID(D443,4,2), LEFT(D443,2)) + TIMEVALUE(MID(D443,12,5))
</f>
        <v>46043.20833</v>
      </c>
      <c r="I443" s="7">
        <f t="shared" si="444"/>
        <v>46044.45833</v>
      </c>
      <c r="J443" s="4">
        <f t="shared" si="3"/>
        <v>30</v>
      </c>
      <c r="K443" s="4" t="str">
        <f t="shared" si="4"/>
        <v>Breached</v>
      </c>
    </row>
    <row r="444">
      <c r="A444" s="1" t="s">
        <v>871</v>
      </c>
      <c r="B444" s="1" t="s">
        <v>23</v>
      </c>
      <c r="C444" s="1" t="s">
        <v>12</v>
      </c>
      <c r="D444" s="5">
        <v>46296.041666666664</v>
      </c>
      <c r="E444" s="6" t="s">
        <v>872</v>
      </c>
      <c r="F444" s="6">
        <v>72.0</v>
      </c>
      <c r="G444" s="1" t="s">
        <v>14</v>
      </c>
      <c r="H444" s="7">
        <f t="shared" ref="H444:I444" si="445">DATE(MID(D444,7,4), MID(D444,4,2), LEFT(D444,2)) + TIMEVALUE(MID(D444,12,5))
</f>
        <v>46032.04167</v>
      </c>
      <c r="I444" s="7">
        <f t="shared" si="445"/>
        <v>46035.45833</v>
      </c>
      <c r="J444" s="4">
        <f t="shared" si="3"/>
        <v>82</v>
      </c>
      <c r="K444" s="4" t="str">
        <f t="shared" si="4"/>
        <v>Breached</v>
      </c>
    </row>
    <row r="445">
      <c r="A445" s="1" t="s">
        <v>873</v>
      </c>
      <c r="B445" s="1" t="s">
        <v>16</v>
      </c>
      <c r="C445" s="1" t="s">
        <v>35</v>
      </c>
      <c r="D445" s="6" t="s">
        <v>874</v>
      </c>
      <c r="E445" s="5">
        <v>46084.5</v>
      </c>
      <c r="F445" s="6">
        <v>48.0</v>
      </c>
      <c r="G445" s="1" t="s">
        <v>14</v>
      </c>
      <c r="H445" s="7">
        <f t="shared" ref="H445:I445" si="446">DATE(MID(D445,7,4), MID(D445,4,2), LEFT(D445,2)) + TIMEVALUE(MID(D445,12,5))
</f>
        <v>46081.04167</v>
      </c>
      <c r="I445" s="7">
        <f t="shared" si="446"/>
        <v>46084.5</v>
      </c>
      <c r="J445" s="4">
        <f t="shared" si="3"/>
        <v>83</v>
      </c>
      <c r="K445" s="4" t="str">
        <f t="shared" si="4"/>
        <v>Breached</v>
      </c>
    </row>
    <row r="446">
      <c r="A446" s="1" t="s">
        <v>875</v>
      </c>
      <c r="B446" s="1" t="s">
        <v>16</v>
      </c>
      <c r="C446" s="1" t="s">
        <v>19</v>
      </c>
      <c r="D446" s="5">
        <v>46329.958333333336</v>
      </c>
      <c r="E446" s="6" t="s">
        <v>876</v>
      </c>
      <c r="F446" s="6">
        <v>24.0</v>
      </c>
      <c r="G446" s="1" t="s">
        <v>14</v>
      </c>
      <c r="H446" s="7">
        <f t="shared" ref="H446:I446" si="447">DATE(MID(D446,7,4), MID(D446,4,2), LEFT(D446,2)) + TIMEVALUE(MID(D446,12,5))
</f>
        <v>46092.95833</v>
      </c>
      <c r="I446" s="7">
        <f t="shared" si="447"/>
        <v>46095.75</v>
      </c>
      <c r="J446" s="4">
        <f t="shared" si="3"/>
        <v>67</v>
      </c>
      <c r="K446" s="4" t="str">
        <f t="shared" si="4"/>
        <v>Breached</v>
      </c>
    </row>
    <row r="447">
      <c r="A447" s="1" t="s">
        <v>877</v>
      </c>
      <c r="B447" s="1" t="s">
        <v>23</v>
      </c>
      <c r="C447" s="1" t="s">
        <v>12</v>
      </c>
      <c r="D447" s="5">
        <v>46296.791666666664</v>
      </c>
      <c r="E447" s="5">
        <v>46357.833333333336</v>
      </c>
      <c r="F447" s="6">
        <v>72.0</v>
      </c>
      <c r="G447" s="1" t="s">
        <v>14</v>
      </c>
      <c r="H447" s="7">
        <f t="shared" ref="H447:I447" si="448">DATE(MID(D447,7,4), MID(D447,4,2), LEFT(D447,2)) + TIMEVALUE(MID(D447,12,5))
</f>
        <v>46032.79167</v>
      </c>
      <c r="I447" s="7">
        <f t="shared" si="448"/>
        <v>46034.83333</v>
      </c>
      <c r="J447" s="4">
        <f t="shared" si="3"/>
        <v>49</v>
      </c>
      <c r="K447" s="4" t="str">
        <f t="shared" si="4"/>
        <v>Within SLA</v>
      </c>
    </row>
    <row r="448">
      <c r="A448" s="1" t="s">
        <v>878</v>
      </c>
      <c r="B448" s="1" t="s">
        <v>18</v>
      </c>
      <c r="C448" s="1" t="s">
        <v>19</v>
      </c>
      <c r="D448" s="6" t="s">
        <v>879</v>
      </c>
      <c r="E448" s="6" t="s">
        <v>880</v>
      </c>
      <c r="F448" s="6">
        <v>24.0</v>
      </c>
      <c r="G448" s="1" t="s">
        <v>14</v>
      </c>
      <c r="H448" s="7">
        <f t="shared" ref="H448:I448" si="449">DATE(MID(D448,7,4), MID(D448,4,2), LEFT(D448,2)) + TIMEVALUE(MID(D448,12,5))
</f>
        <v>46045.95833</v>
      </c>
      <c r="I448" s="7">
        <f t="shared" si="449"/>
        <v>46049.875</v>
      </c>
      <c r="J448" s="4">
        <f t="shared" si="3"/>
        <v>94</v>
      </c>
      <c r="K448" s="4" t="str">
        <f t="shared" si="4"/>
        <v>Breached</v>
      </c>
    </row>
    <row r="449">
      <c r="A449" s="1" t="s">
        <v>881</v>
      </c>
      <c r="B449" s="1" t="s">
        <v>34</v>
      </c>
      <c r="C449" s="1" t="s">
        <v>19</v>
      </c>
      <c r="D449" s="6" t="s">
        <v>882</v>
      </c>
      <c r="E449" s="6" t="s">
        <v>883</v>
      </c>
      <c r="F449" s="6">
        <v>24.0</v>
      </c>
      <c r="G449" s="1" t="s">
        <v>14</v>
      </c>
      <c r="H449" s="7">
        <f t="shared" ref="H449:I449" si="450">DATE(MID(D449,7,4), MID(D449,4,2), LEFT(D449,2)) + TIMEVALUE(MID(D449,12,5))
</f>
        <v>46069.95833</v>
      </c>
      <c r="I449" s="7">
        <f t="shared" si="450"/>
        <v>46071</v>
      </c>
      <c r="J449" s="4">
        <f t="shared" si="3"/>
        <v>25</v>
      </c>
      <c r="K449" s="4" t="str">
        <f t="shared" si="4"/>
        <v>Breached</v>
      </c>
    </row>
    <row r="450">
      <c r="A450" s="1" t="s">
        <v>884</v>
      </c>
      <c r="B450" s="1" t="s">
        <v>23</v>
      </c>
      <c r="C450" s="1" t="s">
        <v>19</v>
      </c>
      <c r="D450" s="5">
        <v>46266.166666666664</v>
      </c>
      <c r="E450" s="5">
        <v>46357.833333333336</v>
      </c>
      <c r="F450" s="6">
        <v>24.0</v>
      </c>
      <c r="G450" s="1" t="s">
        <v>14</v>
      </c>
      <c r="H450" s="7">
        <f t="shared" ref="H450:I450" si="451">DATE(MID(D450,7,4), MID(D450,4,2), LEFT(D450,2)) + TIMEVALUE(MID(D450,12,5))
</f>
        <v>46031.16667</v>
      </c>
      <c r="I450" s="7">
        <f t="shared" si="451"/>
        <v>46034.83333</v>
      </c>
      <c r="J450" s="4">
        <f t="shared" si="3"/>
        <v>88</v>
      </c>
      <c r="K450" s="4" t="str">
        <f t="shared" si="4"/>
        <v>Breached</v>
      </c>
    </row>
    <row r="451">
      <c r="A451" s="1" t="s">
        <v>885</v>
      </c>
      <c r="B451" s="1" t="s">
        <v>18</v>
      </c>
      <c r="C451" s="1" t="s">
        <v>35</v>
      </c>
      <c r="D451" s="5">
        <v>46082.791666666664</v>
      </c>
      <c r="E451" s="5">
        <v>46143.5</v>
      </c>
      <c r="F451" s="6">
        <v>48.0</v>
      </c>
      <c r="G451" s="1" t="s">
        <v>14</v>
      </c>
      <c r="H451" s="7">
        <f t="shared" ref="H451:I451" si="452">DATE(MID(D451,7,4), MID(D451,4,2), LEFT(D451,2)) + TIMEVALUE(MID(D451,12,5))
</f>
        <v>46025.79167</v>
      </c>
      <c r="I451" s="7">
        <f t="shared" si="452"/>
        <v>46027.5</v>
      </c>
      <c r="J451" s="4">
        <f t="shared" si="3"/>
        <v>41</v>
      </c>
      <c r="K451" s="4" t="str">
        <f t="shared" si="4"/>
        <v>Within SLA</v>
      </c>
    </row>
    <row r="452">
      <c r="A452" s="1" t="s">
        <v>886</v>
      </c>
      <c r="B452" s="1" t="s">
        <v>11</v>
      </c>
      <c r="C452" s="1" t="s">
        <v>35</v>
      </c>
      <c r="D452" s="5">
        <v>46024.5</v>
      </c>
      <c r="E452" s="5">
        <v>46083.375</v>
      </c>
      <c r="F452" s="6">
        <v>48.0</v>
      </c>
      <c r="G452" s="1" t="s">
        <v>14</v>
      </c>
      <c r="H452" s="7">
        <f t="shared" ref="H452:I452" si="453">DATE(MID(D452,7,4), MID(D452,4,2), LEFT(D452,2)) + TIMEVALUE(MID(D452,12,5))
</f>
        <v>46054.5</v>
      </c>
      <c r="I452" s="7">
        <f t="shared" si="453"/>
        <v>46056.375</v>
      </c>
      <c r="J452" s="4">
        <f t="shared" si="3"/>
        <v>45</v>
      </c>
      <c r="K452" s="4" t="str">
        <f t="shared" si="4"/>
        <v>Within SLA</v>
      </c>
    </row>
    <row r="453">
      <c r="A453" s="1" t="s">
        <v>887</v>
      </c>
      <c r="B453" s="1" t="s">
        <v>34</v>
      </c>
      <c r="C453" s="1" t="s">
        <v>12</v>
      </c>
      <c r="D453" s="6" t="s">
        <v>888</v>
      </c>
      <c r="E453" s="6" t="s">
        <v>21</v>
      </c>
      <c r="F453" s="6">
        <v>72.0</v>
      </c>
      <c r="G453" s="1" t="s">
        <v>14</v>
      </c>
      <c r="H453" s="7">
        <f t="shared" ref="H453:I453" si="454">DATE(MID(D453,7,4), MID(D453,4,2), LEFT(D453,2)) + TIMEVALUE(MID(D453,12,5))
</f>
        <v>46069.08333</v>
      </c>
      <c r="I453" s="7">
        <f t="shared" si="454"/>
        <v>46070.625</v>
      </c>
      <c r="J453" s="4">
        <f t="shared" si="3"/>
        <v>37</v>
      </c>
      <c r="K453" s="4" t="str">
        <f t="shared" si="4"/>
        <v>Within SLA</v>
      </c>
    </row>
    <row r="454">
      <c r="A454" s="1" t="s">
        <v>889</v>
      </c>
      <c r="B454" s="1" t="s">
        <v>16</v>
      </c>
      <c r="C454" s="1" t="s">
        <v>19</v>
      </c>
      <c r="D454" s="5">
        <v>46083.833333333336</v>
      </c>
      <c r="E454" s="5">
        <v>46144.0</v>
      </c>
      <c r="F454" s="6">
        <v>24.0</v>
      </c>
      <c r="G454" s="1" t="s">
        <v>14</v>
      </c>
      <c r="H454" s="7">
        <f t="shared" ref="H454:I454" si="455">DATE(MID(D454,7,4), MID(D454,4,2), LEFT(D454,2)) + TIMEVALUE(MID(D454,12,5))
</f>
        <v>46056.83333</v>
      </c>
      <c r="I454" s="7">
        <f t="shared" si="455"/>
        <v>46058</v>
      </c>
      <c r="J454" s="4">
        <f t="shared" si="3"/>
        <v>28</v>
      </c>
      <c r="K454" s="4" t="str">
        <f t="shared" si="4"/>
        <v>Breached</v>
      </c>
    </row>
    <row r="455">
      <c r="A455" s="1" t="s">
        <v>890</v>
      </c>
      <c r="B455" s="1" t="s">
        <v>23</v>
      </c>
      <c r="C455" s="1" t="s">
        <v>35</v>
      </c>
      <c r="D455" s="5">
        <v>46328.583333333336</v>
      </c>
      <c r="E455" s="5">
        <v>46358.625</v>
      </c>
      <c r="F455" s="6">
        <v>48.0</v>
      </c>
      <c r="G455" s="1" t="s">
        <v>14</v>
      </c>
      <c r="H455" s="7">
        <f t="shared" ref="H455:I455" si="456">DATE(MID(D455,7,4), MID(D455,4,2), LEFT(D455,2)) + TIMEVALUE(MID(D455,12,5))
</f>
        <v>46064.58333</v>
      </c>
      <c r="I455" s="7">
        <f t="shared" si="456"/>
        <v>46065.625</v>
      </c>
      <c r="J455" s="4">
        <f t="shared" si="3"/>
        <v>25</v>
      </c>
      <c r="K455" s="4" t="str">
        <f t="shared" si="4"/>
        <v>Within SLA</v>
      </c>
    </row>
    <row r="456">
      <c r="A456" s="1" t="s">
        <v>891</v>
      </c>
      <c r="B456" s="1" t="s">
        <v>11</v>
      </c>
      <c r="C456" s="1" t="s">
        <v>35</v>
      </c>
      <c r="D456" s="6" t="s">
        <v>892</v>
      </c>
      <c r="E456" s="6" t="s">
        <v>893</v>
      </c>
      <c r="F456" s="6">
        <v>48.0</v>
      </c>
      <c r="G456" s="1" t="s">
        <v>14</v>
      </c>
      <c r="H456" s="7">
        <f t="shared" ref="H456:I456" si="457">DATE(MID(D456,7,4), MID(D456,4,2), LEFT(D456,2)) + TIMEVALUE(MID(D456,12,5))
</f>
        <v>46076.08333</v>
      </c>
      <c r="I456" s="7">
        <f t="shared" si="457"/>
        <v>46077.16667</v>
      </c>
      <c r="J456" s="4">
        <f t="shared" si="3"/>
        <v>26</v>
      </c>
      <c r="K456" s="4" t="str">
        <f t="shared" si="4"/>
        <v>Within SLA</v>
      </c>
    </row>
    <row r="457">
      <c r="A457" s="1" t="s">
        <v>894</v>
      </c>
      <c r="B457" s="1" t="s">
        <v>18</v>
      </c>
      <c r="C457" s="1" t="s">
        <v>35</v>
      </c>
      <c r="D457" s="6" t="s">
        <v>58</v>
      </c>
      <c r="E457" s="6" t="s">
        <v>895</v>
      </c>
      <c r="F457" s="6">
        <v>48.0</v>
      </c>
      <c r="G457" s="1" t="s">
        <v>14</v>
      </c>
      <c r="H457" s="7">
        <f t="shared" ref="H457:I457" si="458">DATE(MID(D457,7,4), MID(D457,4,2), LEFT(D457,2)) + TIMEVALUE(MID(D457,12,5))
</f>
        <v>46045.875</v>
      </c>
      <c r="I457" s="7">
        <f t="shared" si="458"/>
        <v>46048.75</v>
      </c>
      <c r="J457" s="4">
        <f t="shared" si="3"/>
        <v>69</v>
      </c>
      <c r="K457" s="4" t="str">
        <f t="shared" si="4"/>
        <v>Breached</v>
      </c>
    </row>
    <row r="458">
      <c r="A458" s="1" t="s">
        <v>896</v>
      </c>
      <c r="B458" s="1" t="s">
        <v>18</v>
      </c>
      <c r="C458" s="1" t="s">
        <v>12</v>
      </c>
      <c r="D458" s="5">
        <v>46327.875</v>
      </c>
      <c r="E458" s="6" t="s">
        <v>604</v>
      </c>
      <c r="F458" s="6">
        <v>72.0</v>
      </c>
      <c r="G458" s="1" t="s">
        <v>14</v>
      </c>
      <c r="H458" s="7">
        <f t="shared" ref="H458:I458" si="459">DATE(MID(D458,7,4), MID(D458,4,2), LEFT(D458,2)) + TIMEVALUE(MID(D458,12,5))
</f>
        <v>46033.875</v>
      </c>
      <c r="I458" s="7">
        <f t="shared" si="459"/>
        <v>46037.45833</v>
      </c>
      <c r="J458" s="4">
        <f t="shared" si="3"/>
        <v>86</v>
      </c>
      <c r="K458" s="4" t="str">
        <f t="shared" si="4"/>
        <v>Breached</v>
      </c>
    </row>
    <row r="459">
      <c r="A459" s="1" t="s">
        <v>897</v>
      </c>
      <c r="B459" s="1" t="s">
        <v>16</v>
      </c>
      <c r="C459" s="1" t="s">
        <v>12</v>
      </c>
      <c r="D459" s="5">
        <v>46296.083333333336</v>
      </c>
      <c r="E459" s="5">
        <v>46357.0</v>
      </c>
      <c r="F459" s="6">
        <v>72.0</v>
      </c>
      <c r="G459" s="1" t="s">
        <v>14</v>
      </c>
      <c r="H459" s="7">
        <f t="shared" ref="H459:I459" si="460">DATE(MID(D459,7,4), MID(D459,4,2), LEFT(D459,2)) + TIMEVALUE(MID(D459,12,5))
</f>
        <v>46032.08333</v>
      </c>
      <c r="I459" s="7">
        <f t="shared" si="460"/>
        <v>46034</v>
      </c>
      <c r="J459" s="4">
        <f t="shared" si="3"/>
        <v>46</v>
      </c>
      <c r="K459" s="4" t="str">
        <f t="shared" si="4"/>
        <v>Within SLA</v>
      </c>
    </row>
    <row r="460">
      <c r="A460" s="1" t="s">
        <v>898</v>
      </c>
      <c r="B460" s="1" t="s">
        <v>23</v>
      </c>
      <c r="C460" s="1" t="s">
        <v>35</v>
      </c>
      <c r="D460" s="6" t="s">
        <v>899</v>
      </c>
      <c r="E460" s="6" t="s">
        <v>900</v>
      </c>
      <c r="F460" s="6">
        <v>48.0</v>
      </c>
      <c r="G460" s="1" t="s">
        <v>14</v>
      </c>
      <c r="H460" s="7">
        <f t="shared" ref="H460:I460" si="461">DATE(MID(D460,7,4), MID(D460,4,2), LEFT(D460,2)) + TIMEVALUE(MID(D460,12,5))
</f>
        <v>46040.33333</v>
      </c>
      <c r="I460" s="7">
        <f t="shared" si="461"/>
        <v>46042</v>
      </c>
      <c r="J460" s="4">
        <f t="shared" si="3"/>
        <v>40</v>
      </c>
      <c r="K460" s="4" t="str">
        <f t="shared" si="4"/>
        <v>Within SLA</v>
      </c>
    </row>
    <row r="461">
      <c r="A461" s="1" t="s">
        <v>901</v>
      </c>
      <c r="B461" s="1" t="s">
        <v>34</v>
      </c>
      <c r="C461" s="1" t="s">
        <v>35</v>
      </c>
      <c r="D461" s="5">
        <v>46206.416666666664</v>
      </c>
      <c r="E461" s="5">
        <v>46329.25</v>
      </c>
      <c r="F461" s="6">
        <v>48.0</v>
      </c>
      <c r="G461" s="1" t="s">
        <v>14</v>
      </c>
      <c r="H461" s="7">
        <f t="shared" ref="H461:I461" si="462">DATE(MID(D461,7,4), MID(D461,4,2), LEFT(D461,2)) + TIMEVALUE(MID(D461,12,5))
</f>
        <v>46088.41667</v>
      </c>
      <c r="I461" s="7">
        <f t="shared" si="462"/>
        <v>46092.25</v>
      </c>
      <c r="J461" s="4">
        <f t="shared" si="3"/>
        <v>92</v>
      </c>
      <c r="K461" s="4" t="str">
        <f t="shared" si="4"/>
        <v>Breached</v>
      </c>
    </row>
    <row r="462">
      <c r="A462" s="1" t="s">
        <v>902</v>
      </c>
      <c r="B462" s="1" t="s">
        <v>16</v>
      </c>
      <c r="C462" s="1" t="s">
        <v>12</v>
      </c>
      <c r="D462" s="5">
        <v>46113.833333333336</v>
      </c>
      <c r="E462" s="5">
        <v>46174.125</v>
      </c>
      <c r="F462" s="6">
        <v>72.0</v>
      </c>
      <c r="G462" s="1" t="s">
        <v>14</v>
      </c>
      <c r="H462" s="7">
        <f t="shared" ref="H462:I462" si="463">DATE(MID(D462,7,4), MID(D462,4,2), LEFT(D462,2)) + TIMEVALUE(MID(D462,12,5))
</f>
        <v>46026.83333</v>
      </c>
      <c r="I462" s="7">
        <f t="shared" si="463"/>
        <v>46028.125</v>
      </c>
      <c r="J462" s="4">
        <f t="shared" si="3"/>
        <v>31</v>
      </c>
      <c r="K462" s="4" t="str">
        <f t="shared" si="4"/>
        <v>Within SLA</v>
      </c>
    </row>
    <row r="463">
      <c r="A463" s="1" t="s">
        <v>903</v>
      </c>
      <c r="B463" s="1" t="s">
        <v>18</v>
      </c>
      <c r="C463" s="1" t="s">
        <v>12</v>
      </c>
      <c r="D463" s="5">
        <v>46056.166666666664</v>
      </c>
      <c r="E463" s="5">
        <v>46056.833333333336</v>
      </c>
      <c r="F463" s="6">
        <v>72.0</v>
      </c>
      <c r="G463" s="1" t="s">
        <v>14</v>
      </c>
      <c r="H463" s="7">
        <f t="shared" ref="H463:I463" si="464">DATE(MID(D463,7,4), MID(D463,4,2), LEFT(D463,2)) + TIMEVALUE(MID(D463,12,5))
</f>
        <v>46083.16667</v>
      </c>
      <c r="I463" s="7">
        <f t="shared" si="464"/>
        <v>46083.83333</v>
      </c>
      <c r="J463" s="4">
        <f t="shared" si="3"/>
        <v>16</v>
      </c>
      <c r="K463" s="4" t="str">
        <f t="shared" si="4"/>
        <v>Within SLA</v>
      </c>
    </row>
    <row r="464">
      <c r="A464" s="1" t="s">
        <v>904</v>
      </c>
      <c r="B464" s="1" t="s">
        <v>18</v>
      </c>
      <c r="C464" s="1" t="s">
        <v>12</v>
      </c>
      <c r="D464" s="5">
        <v>46204.416666666664</v>
      </c>
      <c r="E464" s="5">
        <v>46296.375</v>
      </c>
      <c r="F464" s="6">
        <v>72.0</v>
      </c>
      <c r="G464" s="1" t="s">
        <v>14</v>
      </c>
      <c r="H464" s="7">
        <f t="shared" ref="H464:I464" si="465">DATE(MID(D464,7,4), MID(D464,4,2), LEFT(D464,2)) + TIMEVALUE(MID(D464,12,5))
</f>
        <v>46029.41667</v>
      </c>
      <c r="I464" s="7">
        <f t="shared" si="465"/>
        <v>46032.375</v>
      </c>
      <c r="J464" s="4">
        <f t="shared" si="3"/>
        <v>71</v>
      </c>
      <c r="K464" s="4" t="str">
        <f t="shared" si="4"/>
        <v>Within SLA</v>
      </c>
    </row>
    <row r="465">
      <c r="A465" s="1" t="s">
        <v>905</v>
      </c>
      <c r="B465" s="1" t="s">
        <v>23</v>
      </c>
      <c r="C465" s="1" t="s">
        <v>12</v>
      </c>
      <c r="D465" s="6" t="s">
        <v>906</v>
      </c>
      <c r="E465" s="6" t="s">
        <v>411</v>
      </c>
      <c r="F465" s="6">
        <v>72.0</v>
      </c>
      <c r="G465" s="1" t="s">
        <v>14</v>
      </c>
      <c r="H465" s="7">
        <f t="shared" ref="H465:I465" si="466">DATE(MID(D465,7,4), MID(D465,4,2), LEFT(D465,2)) + TIMEVALUE(MID(D465,12,5))
</f>
        <v>46040.5</v>
      </c>
      <c r="I465" s="7">
        <f t="shared" si="466"/>
        <v>46042.79167</v>
      </c>
      <c r="J465" s="4">
        <f t="shared" si="3"/>
        <v>55</v>
      </c>
      <c r="K465" s="4" t="str">
        <f t="shared" si="4"/>
        <v>Within SLA</v>
      </c>
    </row>
    <row r="466">
      <c r="A466" s="1" t="s">
        <v>907</v>
      </c>
      <c r="B466" s="1" t="s">
        <v>16</v>
      </c>
      <c r="C466" s="1" t="s">
        <v>35</v>
      </c>
      <c r="D466" s="6" t="s">
        <v>97</v>
      </c>
      <c r="E466" s="5">
        <v>46024.75</v>
      </c>
      <c r="F466" s="6">
        <v>48.0</v>
      </c>
      <c r="G466" s="1" t="s">
        <v>14</v>
      </c>
      <c r="H466" s="7">
        <f t="shared" ref="H466:I466" si="467">DATE(MID(D466,7,4), MID(D466,4,2), LEFT(D466,2)) + TIMEVALUE(MID(D466,12,5))
</f>
        <v>46052.25</v>
      </c>
      <c r="I466" s="7">
        <f t="shared" si="467"/>
        <v>46054.75</v>
      </c>
      <c r="J466" s="4">
        <f t="shared" si="3"/>
        <v>60</v>
      </c>
      <c r="K466" s="4" t="str">
        <f t="shared" si="4"/>
        <v>Breached</v>
      </c>
    </row>
    <row r="467">
      <c r="A467" s="1" t="s">
        <v>908</v>
      </c>
      <c r="B467" s="1" t="s">
        <v>11</v>
      </c>
      <c r="C467" s="1" t="s">
        <v>19</v>
      </c>
      <c r="D467" s="5">
        <v>46024.625</v>
      </c>
      <c r="E467" s="5">
        <v>46083.25</v>
      </c>
      <c r="F467" s="6">
        <v>24.0</v>
      </c>
      <c r="G467" s="1" t="s">
        <v>14</v>
      </c>
      <c r="H467" s="7">
        <f t="shared" ref="H467:I467" si="468">DATE(MID(D467,7,4), MID(D467,4,2), LEFT(D467,2)) + TIMEVALUE(MID(D467,12,5))
</f>
        <v>46054.625</v>
      </c>
      <c r="I467" s="7">
        <f t="shared" si="468"/>
        <v>46056.25</v>
      </c>
      <c r="J467" s="4">
        <f t="shared" si="3"/>
        <v>39</v>
      </c>
      <c r="K467" s="4" t="str">
        <f t="shared" si="4"/>
        <v>Breached</v>
      </c>
    </row>
    <row r="468">
      <c r="A468" s="1" t="s">
        <v>909</v>
      </c>
      <c r="B468" s="1" t="s">
        <v>34</v>
      </c>
      <c r="C468" s="1" t="s">
        <v>35</v>
      </c>
      <c r="D468" s="6" t="s">
        <v>910</v>
      </c>
      <c r="E468" s="6" t="s">
        <v>911</v>
      </c>
      <c r="F468" s="6">
        <v>48.0</v>
      </c>
      <c r="G468" s="1" t="s">
        <v>14</v>
      </c>
      <c r="H468" s="7">
        <f t="shared" ref="H468:I468" si="469">DATE(MID(D468,7,4), MID(D468,4,2), LEFT(D468,2)) + TIMEVALUE(MID(D468,12,5))
</f>
        <v>46068.33333</v>
      </c>
      <c r="I468" s="7">
        <f t="shared" si="469"/>
        <v>46070.83333</v>
      </c>
      <c r="J468" s="4">
        <f t="shared" si="3"/>
        <v>60</v>
      </c>
      <c r="K468" s="4" t="str">
        <f t="shared" si="4"/>
        <v>Breached</v>
      </c>
    </row>
    <row r="469">
      <c r="A469" s="1" t="s">
        <v>912</v>
      </c>
      <c r="B469" s="1" t="s">
        <v>34</v>
      </c>
      <c r="C469" s="1" t="s">
        <v>19</v>
      </c>
      <c r="D469" s="5">
        <v>46298.541666666664</v>
      </c>
      <c r="E469" s="5">
        <v>46359.125</v>
      </c>
      <c r="F469" s="6">
        <v>24.0</v>
      </c>
      <c r="G469" s="1" t="s">
        <v>14</v>
      </c>
      <c r="H469" s="7">
        <f t="shared" ref="H469:I469" si="470">DATE(MID(D469,7,4), MID(D469,4,2), LEFT(D469,2)) + TIMEVALUE(MID(D469,12,5))
</f>
        <v>46091.54167</v>
      </c>
      <c r="I469" s="7">
        <f t="shared" si="470"/>
        <v>46093.125</v>
      </c>
      <c r="J469" s="4">
        <f t="shared" si="3"/>
        <v>38</v>
      </c>
      <c r="K469" s="4" t="str">
        <f t="shared" si="4"/>
        <v>Breached</v>
      </c>
    </row>
    <row r="470">
      <c r="A470" s="1" t="s">
        <v>913</v>
      </c>
      <c r="B470" s="1" t="s">
        <v>34</v>
      </c>
      <c r="C470" s="1" t="s">
        <v>19</v>
      </c>
      <c r="D470" s="6" t="s">
        <v>46</v>
      </c>
      <c r="E470" s="6" t="s">
        <v>398</v>
      </c>
      <c r="F470" s="6">
        <v>24.0</v>
      </c>
      <c r="G470" s="1" t="s">
        <v>14</v>
      </c>
      <c r="H470" s="7">
        <f t="shared" ref="H470:I470" si="471">DATE(MID(D470,7,4), MID(D470,4,2), LEFT(D470,2)) + TIMEVALUE(MID(D470,12,5))
</f>
        <v>46067.79167</v>
      </c>
      <c r="I470" s="7">
        <f t="shared" si="471"/>
        <v>46068.54167</v>
      </c>
      <c r="J470" s="4">
        <f t="shared" si="3"/>
        <v>18</v>
      </c>
      <c r="K470" s="4" t="str">
        <f t="shared" si="4"/>
        <v>Within SLA</v>
      </c>
    </row>
    <row r="471">
      <c r="A471" s="1" t="s">
        <v>914</v>
      </c>
      <c r="B471" s="1" t="s">
        <v>11</v>
      </c>
      <c r="C471" s="1" t="s">
        <v>19</v>
      </c>
      <c r="D471" s="5">
        <v>46144.25</v>
      </c>
      <c r="E471" s="5">
        <v>46236.958333333336</v>
      </c>
      <c r="F471" s="6">
        <v>24.0</v>
      </c>
      <c r="G471" s="1" t="s">
        <v>14</v>
      </c>
      <c r="H471" s="7">
        <f t="shared" ref="H471:I471" si="472">DATE(MID(D471,7,4), MID(D471,4,2), LEFT(D471,2)) + TIMEVALUE(MID(D471,12,5))
</f>
        <v>46058.25</v>
      </c>
      <c r="I471" s="7">
        <f t="shared" si="472"/>
        <v>46061.95833</v>
      </c>
      <c r="J471" s="4">
        <f t="shared" si="3"/>
        <v>89</v>
      </c>
      <c r="K471" s="4" t="str">
        <f t="shared" si="4"/>
        <v>Breached</v>
      </c>
    </row>
    <row r="472">
      <c r="A472" s="1" t="s">
        <v>915</v>
      </c>
      <c r="B472" s="1" t="s">
        <v>16</v>
      </c>
      <c r="C472" s="1" t="s">
        <v>35</v>
      </c>
      <c r="D472" s="5">
        <v>46296.958333333336</v>
      </c>
      <c r="E472" s="6" t="s">
        <v>916</v>
      </c>
      <c r="F472" s="6">
        <v>48.0</v>
      </c>
      <c r="G472" s="1" t="s">
        <v>14</v>
      </c>
      <c r="H472" s="7">
        <f t="shared" ref="H472:I472" si="473">DATE(MID(D472,7,4), MID(D472,4,2), LEFT(D472,2)) + TIMEVALUE(MID(D472,12,5))
</f>
        <v>46032.95833</v>
      </c>
      <c r="I472" s="7">
        <f t="shared" si="473"/>
        <v>46036.08333</v>
      </c>
      <c r="J472" s="4">
        <f t="shared" si="3"/>
        <v>75</v>
      </c>
      <c r="K472" s="4" t="str">
        <f t="shared" si="4"/>
        <v>Breached</v>
      </c>
    </row>
    <row r="473">
      <c r="A473" s="1" t="s">
        <v>917</v>
      </c>
      <c r="B473" s="1" t="s">
        <v>16</v>
      </c>
      <c r="C473" s="1" t="s">
        <v>35</v>
      </c>
      <c r="D473" s="5">
        <v>46357.583333333336</v>
      </c>
      <c r="E473" s="6" t="s">
        <v>918</v>
      </c>
      <c r="F473" s="6">
        <v>48.0</v>
      </c>
      <c r="G473" s="1" t="s">
        <v>14</v>
      </c>
      <c r="H473" s="7">
        <f t="shared" ref="H473:I473" si="474">DATE(MID(D473,7,4), MID(D473,4,2), LEFT(D473,2)) + TIMEVALUE(MID(D473,12,5))
</f>
        <v>46034.58333</v>
      </c>
      <c r="I473" s="7">
        <f t="shared" si="474"/>
        <v>46037.75</v>
      </c>
      <c r="J473" s="4">
        <f t="shared" si="3"/>
        <v>76</v>
      </c>
      <c r="K473" s="4" t="str">
        <f t="shared" si="4"/>
        <v>Breached</v>
      </c>
    </row>
    <row r="474">
      <c r="A474" s="1" t="s">
        <v>919</v>
      </c>
      <c r="B474" s="1" t="s">
        <v>23</v>
      </c>
      <c r="C474" s="1" t="s">
        <v>35</v>
      </c>
      <c r="D474" s="5">
        <v>46237.916666666664</v>
      </c>
      <c r="E474" s="5">
        <v>46359.625</v>
      </c>
      <c r="F474" s="6">
        <v>48.0</v>
      </c>
      <c r="G474" s="1" t="s">
        <v>14</v>
      </c>
      <c r="H474" s="7">
        <f t="shared" ref="H474:I474" si="475">DATE(MID(D474,7,4), MID(D474,4,2), LEFT(D474,2)) + TIMEVALUE(MID(D474,12,5))
</f>
        <v>46089.91667</v>
      </c>
      <c r="I474" s="7">
        <f t="shared" si="475"/>
        <v>46093.625</v>
      </c>
      <c r="J474" s="4">
        <f t="shared" si="3"/>
        <v>89</v>
      </c>
      <c r="K474" s="4" t="str">
        <f t="shared" si="4"/>
        <v>Breached</v>
      </c>
    </row>
    <row r="475">
      <c r="A475" s="1" t="s">
        <v>920</v>
      </c>
      <c r="B475" s="1" t="s">
        <v>23</v>
      </c>
      <c r="C475" s="1" t="s">
        <v>35</v>
      </c>
      <c r="D475" s="5">
        <v>46143.75</v>
      </c>
      <c r="E475" s="5">
        <v>46235.291666666664</v>
      </c>
      <c r="F475" s="6">
        <v>48.0</v>
      </c>
      <c r="G475" s="1" t="s">
        <v>14</v>
      </c>
      <c r="H475" s="7">
        <f t="shared" ref="H475:I475" si="476">DATE(MID(D475,7,4), MID(D475,4,2), LEFT(D475,2)) + TIMEVALUE(MID(D475,12,5))
</f>
        <v>46027.75</v>
      </c>
      <c r="I475" s="7">
        <f t="shared" si="476"/>
        <v>46030.29167</v>
      </c>
      <c r="J475" s="4">
        <f t="shared" si="3"/>
        <v>61</v>
      </c>
      <c r="K475" s="4" t="str">
        <f t="shared" si="4"/>
        <v>Breached</v>
      </c>
    </row>
    <row r="476">
      <c r="A476" s="1" t="s">
        <v>921</v>
      </c>
      <c r="B476" s="1" t="s">
        <v>18</v>
      </c>
      <c r="C476" s="1" t="s">
        <v>35</v>
      </c>
      <c r="D476" s="6" t="s">
        <v>922</v>
      </c>
      <c r="E476" s="6" t="s">
        <v>923</v>
      </c>
      <c r="F476" s="6">
        <v>48.0</v>
      </c>
      <c r="G476" s="1" t="s">
        <v>14</v>
      </c>
      <c r="H476" s="7">
        <f t="shared" ref="H476:I476" si="477">DATE(MID(D476,7,4), MID(D476,4,2), LEFT(D476,2)) + TIMEVALUE(MID(D476,12,5))
</f>
        <v>46044.08333</v>
      </c>
      <c r="I476" s="7">
        <f t="shared" si="477"/>
        <v>46047.45833</v>
      </c>
      <c r="J476" s="4">
        <f t="shared" si="3"/>
        <v>81</v>
      </c>
      <c r="K476" s="4" t="str">
        <f t="shared" si="4"/>
        <v>Breached</v>
      </c>
    </row>
    <row r="477">
      <c r="A477" s="1" t="s">
        <v>924</v>
      </c>
      <c r="B477" s="1" t="s">
        <v>16</v>
      </c>
      <c r="C477" s="1" t="s">
        <v>35</v>
      </c>
      <c r="D477" s="5">
        <v>46205.541666666664</v>
      </c>
      <c r="E477" s="5">
        <v>46267.916666666664</v>
      </c>
      <c r="F477" s="6">
        <v>48.0</v>
      </c>
      <c r="G477" s="1" t="s">
        <v>14</v>
      </c>
      <c r="H477" s="7">
        <f t="shared" ref="H477:I477" si="478">DATE(MID(D477,7,4), MID(D477,4,2), LEFT(D477,2)) + TIMEVALUE(MID(D477,12,5))
</f>
        <v>46060.54167</v>
      </c>
      <c r="I477" s="7">
        <f t="shared" si="478"/>
        <v>46062.91667</v>
      </c>
      <c r="J477" s="4">
        <f t="shared" si="3"/>
        <v>57</v>
      </c>
      <c r="K477" s="4" t="str">
        <f t="shared" si="4"/>
        <v>Breached</v>
      </c>
    </row>
    <row r="478">
      <c r="A478" s="1" t="s">
        <v>925</v>
      </c>
      <c r="B478" s="1" t="s">
        <v>16</v>
      </c>
      <c r="C478" s="1" t="s">
        <v>12</v>
      </c>
      <c r="D478" s="6" t="s">
        <v>926</v>
      </c>
      <c r="E478" s="6" t="s">
        <v>927</v>
      </c>
      <c r="F478" s="6">
        <v>72.0</v>
      </c>
      <c r="G478" s="1" t="s">
        <v>14</v>
      </c>
      <c r="H478" s="7">
        <f t="shared" ref="H478:I478" si="479">DATE(MID(D478,7,4), MID(D478,4,2), LEFT(D478,2)) + TIMEVALUE(MID(D478,12,5))
</f>
        <v>46097.54167</v>
      </c>
      <c r="I478" s="7">
        <f t="shared" si="479"/>
        <v>46099.54167</v>
      </c>
      <c r="J478" s="4">
        <f t="shared" si="3"/>
        <v>48</v>
      </c>
      <c r="K478" s="4" t="str">
        <f t="shared" si="4"/>
        <v>Within SLA</v>
      </c>
    </row>
    <row r="479">
      <c r="A479" s="1" t="s">
        <v>928</v>
      </c>
      <c r="B479" s="1" t="s">
        <v>23</v>
      </c>
      <c r="C479" s="1" t="s">
        <v>35</v>
      </c>
      <c r="D479" s="5">
        <v>46055.291666666664</v>
      </c>
      <c r="E479" s="5">
        <v>46083.375</v>
      </c>
      <c r="F479" s="6">
        <v>48.0</v>
      </c>
      <c r="G479" s="1" t="s">
        <v>14</v>
      </c>
      <c r="H479" s="7">
        <f t="shared" ref="H479:I479" si="480">DATE(MID(D479,7,4), MID(D479,4,2), LEFT(D479,2)) + TIMEVALUE(MID(D479,12,5))
</f>
        <v>46055.29167</v>
      </c>
      <c r="I479" s="7">
        <f t="shared" si="480"/>
        <v>46056.375</v>
      </c>
      <c r="J479" s="4">
        <f t="shared" si="3"/>
        <v>26</v>
      </c>
      <c r="K479" s="4" t="str">
        <f t="shared" si="4"/>
        <v>Within SLA</v>
      </c>
    </row>
    <row r="480">
      <c r="A480" s="1" t="s">
        <v>929</v>
      </c>
      <c r="B480" s="1" t="s">
        <v>34</v>
      </c>
      <c r="C480" s="1" t="s">
        <v>35</v>
      </c>
      <c r="D480" s="6" t="s">
        <v>461</v>
      </c>
      <c r="E480" s="6" t="s">
        <v>930</v>
      </c>
      <c r="F480" s="6">
        <v>48.0</v>
      </c>
      <c r="G480" s="1" t="s">
        <v>14</v>
      </c>
      <c r="H480" s="7">
        <f t="shared" ref="H480:I480" si="481">DATE(MID(D480,7,4), MID(D480,4,2), LEFT(D480,2)) + TIMEVALUE(MID(D480,12,5))
</f>
        <v>46094.75</v>
      </c>
      <c r="I480" s="7">
        <f t="shared" si="481"/>
        <v>46098.5</v>
      </c>
      <c r="J480" s="4">
        <f t="shared" si="3"/>
        <v>90</v>
      </c>
      <c r="K480" s="4" t="str">
        <f t="shared" si="4"/>
        <v>Breached</v>
      </c>
    </row>
    <row r="481">
      <c r="A481" s="1" t="s">
        <v>931</v>
      </c>
      <c r="B481" s="1" t="s">
        <v>11</v>
      </c>
      <c r="C481" s="1" t="s">
        <v>12</v>
      </c>
      <c r="D481" s="6" t="s">
        <v>867</v>
      </c>
      <c r="E481" s="6" t="s">
        <v>682</v>
      </c>
      <c r="F481" s="6">
        <v>72.0</v>
      </c>
      <c r="G481" s="1" t="s">
        <v>14</v>
      </c>
      <c r="H481" s="7">
        <f t="shared" ref="H481:I481" si="482">DATE(MID(D481,7,4), MID(D481,4,2), LEFT(D481,2)) + TIMEVALUE(MID(D481,12,5))
</f>
        <v>46038.04167</v>
      </c>
      <c r="I481" s="7">
        <f t="shared" si="482"/>
        <v>46039.83333</v>
      </c>
      <c r="J481" s="4">
        <f t="shared" si="3"/>
        <v>43</v>
      </c>
      <c r="K481" s="4" t="str">
        <f t="shared" si="4"/>
        <v>Within SLA</v>
      </c>
    </row>
    <row r="482">
      <c r="A482" s="1" t="s">
        <v>932</v>
      </c>
      <c r="B482" s="1" t="s">
        <v>16</v>
      </c>
      <c r="C482" s="1" t="s">
        <v>19</v>
      </c>
      <c r="D482" s="6" t="s">
        <v>933</v>
      </c>
      <c r="E482" s="6" t="s">
        <v>934</v>
      </c>
      <c r="F482" s="6">
        <v>24.0</v>
      </c>
      <c r="G482" s="1" t="s">
        <v>14</v>
      </c>
      <c r="H482" s="7">
        <f t="shared" ref="H482:I482" si="483">DATE(MID(D482,7,4), MID(D482,4,2), LEFT(D482,2)) + TIMEVALUE(MID(D482,12,5))
</f>
        <v>46075.16667</v>
      </c>
      <c r="I482" s="7">
        <f t="shared" si="483"/>
        <v>46079.08333</v>
      </c>
      <c r="J482" s="4">
        <f t="shared" si="3"/>
        <v>94</v>
      </c>
      <c r="K482" s="4" t="str">
        <f t="shared" si="4"/>
        <v>Breached</v>
      </c>
    </row>
    <row r="483">
      <c r="A483" s="1" t="s">
        <v>935</v>
      </c>
      <c r="B483" s="1" t="s">
        <v>11</v>
      </c>
      <c r="C483" s="1" t="s">
        <v>12</v>
      </c>
      <c r="D483" s="5">
        <v>46298.833333333336</v>
      </c>
      <c r="E483" s="6" t="s">
        <v>936</v>
      </c>
      <c r="F483" s="6">
        <v>72.0</v>
      </c>
      <c r="G483" s="1" t="s">
        <v>14</v>
      </c>
      <c r="H483" s="7">
        <f t="shared" ref="H483:I483" si="484">DATE(MID(D483,7,4), MID(D483,4,2), LEFT(D483,2)) + TIMEVALUE(MID(D483,12,5))
</f>
        <v>46091.83333</v>
      </c>
      <c r="I483" s="7">
        <f t="shared" si="484"/>
        <v>46094.45833</v>
      </c>
      <c r="J483" s="4">
        <f t="shared" si="3"/>
        <v>63</v>
      </c>
      <c r="K483" s="4" t="str">
        <f t="shared" si="4"/>
        <v>Within SLA</v>
      </c>
    </row>
    <row r="484">
      <c r="A484" s="1" t="s">
        <v>937</v>
      </c>
      <c r="B484" s="1" t="s">
        <v>16</v>
      </c>
      <c r="C484" s="1" t="s">
        <v>12</v>
      </c>
      <c r="D484" s="6" t="s">
        <v>933</v>
      </c>
      <c r="E484" s="6" t="s">
        <v>938</v>
      </c>
      <c r="F484" s="6">
        <v>72.0</v>
      </c>
      <c r="G484" s="1" t="s">
        <v>14</v>
      </c>
      <c r="H484" s="7">
        <f t="shared" ref="H484:I484" si="485">DATE(MID(D484,7,4), MID(D484,4,2), LEFT(D484,2)) + TIMEVALUE(MID(D484,12,5))
</f>
        <v>46075.16667</v>
      </c>
      <c r="I484" s="7">
        <f t="shared" si="485"/>
        <v>46076.91667</v>
      </c>
      <c r="J484" s="4">
        <f t="shared" si="3"/>
        <v>42</v>
      </c>
      <c r="K484" s="4" t="str">
        <f t="shared" si="4"/>
        <v>Within SLA</v>
      </c>
    </row>
    <row r="485">
      <c r="A485" s="1" t="s">
        <v>939</v>
      </c>
      <c r="B485" s="1" t="s">
        <v>34</v>
      </c>
      <c r="C485" s="1" t="s">
        <v>12</v>
      </c>
      <c r="D485" s="6" t="s">
        <v>940</v>
      </c>
      <c r="E485" s="6" t="s">
        <v>893</v>
      </c>
      <c r="F485" s="6">
        <v>72.0</v>
      </c>
      <c r="G485" s="1" t="s">
        <v>14</v>
      </c>
      <c r="H485" s="7">
        <f t="shared" ref="H485:I485" si="486">DATE(MID(D485,7,4), MID(D485,4,2), LEFT(D485,2)) + TIMEVALUE(MID(D485,12,5))
</f>
        <v>46075.20833</v>
      </c>
      <c r="I485" s="7">
        <f t="shared" si="486"/>
        <v>46077.16667</v>
      </c>
      <c r="J485" s="4">
        <f t="shared" si="3"/>
        <v>47</v>
      </c>
      <c r="K485" s="4" t="str">
        <f t="shared" si="4"/>
        <v>Within SLA</v>
      </c>
    </row>
    <row r="486">
      <c r="A486" s="1" t="s">
        <v>941</v>
      </c>
      <c r="B486" s="1" t="s">
        <v>16</v>
      </c>
      <c r="C486" s="1" t="s">
        <v>35</v>
      </c>
      <c r="D486" s="6" t="s">
        <v>942</v>
      </c>
      <c r="E486" s="6" t="s">
        <v>943</v>
      </c>
      <c r="F486" s="6">
        <v>48.0</v>
      </c>
      <c r="G486" s="1" t="s">
        <v>14</v>
      </c>
      <c r="H486" s="7">
        <f t="shared" ref="H486:I486" si="487">DATE(MID(D486,7,4), MID(D486,4,2), LEFT(D486,2)) + TIMEVALUE(MID(D486,12,5))
</f>
        <v>46044.875</v>
      </c>
      <c r="I486" s="7">
        <f t="shared" si="487"/>
        <v>46046.625</v>
      </c>
      <c r="J486" s="4">
        <f t="shared" si="3"/>
        <v>42</v>
      </c>
      <c r="K486" s="4" t="str">
        <f t="shared" si="4"/>
        <v>Within SLA</v>
      </c>
    </row>
    <row r="487">
      <c r="A487" s="1" t="s">
        <v>944</v>
      </c>
      <c r="B487" s="1" t="s">
        <v>11</v>
      </c>
      <c r="C487" s="1" t="s">
        <v>12</v>
      </c>
      <c r="D487" s="5">
        <v>46296.083333333336</v>
      </c>
      <c r="E487" s="6" t="s">
        <v>676</v>
      </c>
      <c r="F487" s="6">
        <v>72.0</v>
      </c>
      <c r="G487" s="1" t="s">
        <v>14</v>
      </c>
      <c r="H487" s="7">
        <f t="shared" ref="H487:I487" si="488">DATE(MID(D487,7,4), MID(D487,4,2), LEFT(D487,2)) + TIMEVALUE(MID(D487,12,5))
</f>
        <v>46032.08333</v>
      </c>
      <c r="I487" s="7">
        <f t="shared" si="488"/>
        <v>46036</v>
      </c>
      <c r="J487" s="4">
        <f t="shared" si="3"/>
        <v>94</v>
      </c>
      <c r="K487" s="4" t="str">
        <f t="shared" si="4"/>
        <v>Breached</v>
      </c>
    </row>
    <row r="488">
      <c r="A488" s="1" t="s">
        <v>945</v>
      </c>
      <c r="B488" s="1" t="s">
        <v>34</v>
      </c>
      <c r="C488" s="1" t="s">
        <v>12</v>
      </c>
      <c r="D488" s="6" t="s">
        <v>255</v>
      </c>
      <c r="E488" s="6" t="s">
        <v>946</v>
      </c>
      <c r="F488" s="6">
        <v>72.0</v>
      </c>
      <c r="G488" s="1" t="s">
        <v>14</v>
      </c>
      <c r="H488" s="7">
        <f t="shared" ref="H488:I488" si="489">DATE(MID(D488,7,4), MID(D488,4,2), LEFT(D488,2)) + TIMEVALUE(MID(D488,12,5))
</f>
        <v>46104.5</v>
      </c>
      <c r="I488" s="7">
        <f t="shared" si="489"/>
        <v>46108.08333</v>
      </c>
      <c r="J488" s="4">
        <f t="shared" si="3"/>
        <v>86</v>
      </c>
      <c r="K488" s="4" t="str">
        <f t="shared" si="4"/>
        <v>Breached</v>
      </c>
    </row>
    <row r="489">
      <c r="A489" s="1" t="s">
        <v>947</v>
      </c>
      <c r="B489" s="1" t="s">
        <v>34</v>
      </c>
      <c r="C489" s="1" t="s">
        <v>19</v>
      </c>
      <c r="D489" s="6" t="s">
        <v>191</v>
      </c>
      <c r="E489" s="6" t="s">
        <v>948</v>
      </c>
      <c r="F489" s="6">
        <v>24.0</v>
      </c>
      <c r="G489" s="1" t="s">
        <v>14</v>
      </c>
      <c r="H489" s="7">
        <f t="shared" ref="H489:I489" si="490">DATE(MID(D489,7,4), MID(D489,4,2), LEFT(D489,2)) + TIMEVALUE(MID(D489,12,5))
</f>
        <v>46067.125</v>
      </c>
      <c r="I489" s="7">
        <f t="shared" si="490"/>
        <v>46069.625</v>
      </c>
      <c r="J489" s="4">
        <f t="shared" si="3"/>
        <v>60</v>
      </c>
      <c r="K489" s="4" t="str">
        <f t="shared" si="4"/>
        <v>Breached</v>
      </c>
    </row>
    <row r="490">
      <c r="A490" s="1" t="s">
        <v>949</v>
      </c>
      <c r="B490" s="1" t="s">
        <v>34</v>
      </c>
      <c r="C490" s="1" t="s">
        <v>19</v>
      </c>
      <c r="D490" s="5">
        <v>46115.5</v>
      </c>
      <c r="E490" s="5">
        <v>46237.375</v>
      </c>
      <c r="F490" s="6">
        <v>24.0</v>
      </c>
      <c r="G490" s="1" t="s">
        <v>14</v>
      </c>
      <c r="H490" s="7">
        <f t="shared" ref="H490:I490" si="491">DATE(MID(D490,7,4), MID(D490,4,2), LEFT(D490,2)) + TIMEVALUE(MID(D490,12,5))
</f>
        <v>46085.5</v>
      </c>
      <c r="I490" s="7">
        <f t="shared" si="491"/>
        <v>46089.375</v>
      </c>
      <c r="J490" s="4">
        <f t="shared" si="3"/>
        <v>93</v>
      </c>
      <c r="K490" s="4" t="str">
        <f t="shared" si="4"/>
        <v>Breached</v>
      </c>
    </row>
    <row r="491">
      <c r="A491" s="1" t="s">
        <v>950</v>
      </c>
      <c r="B491" s="1" t="s">
        <v>16</v>
      </c>
      <c r="C491" s="1" t="s">
        <v>19</v>
      </c>
      <c r="D491" s="6" t="s">
        <v>951</v>
      </c>
      <c r="E491" s="6" t="s">
        <v>561</v>
      </c>
      <c r="F491" s="6">
        <v>24.0</v>
      </c>
      <c r="G491" s="1" t="s">
        <v>14</v>
      </c>
      <c r="H491" s="7">
        <f t="shared" ref="H491:I491" si="492">DATE(MID(D491,7,4), MID(D491,4,2), LEFT(D491,2)) + TIMEVALUE(MID(D491,12,5))
</f>
        <v>46039.45833</v>
      </c>
      <c r="I491" s="7">
        <f t="shared" si="492"/>
        <v>46042.41667</v>
      </c>
      <c r="J491" s="4">
        <f t="shared" si="3"/>
        <v>71</v>
      </c>
      <c r="K491" s="4" t="str">
        <f t="shared" si="4"/>
        <v>Breached</v>
      </c>
    </row>
    <row r="492">
      <c r="A492" s="1" t="s">
        <v>952</v>
      </c>
      <c r="B492" s="1" t="s">
        <v>34</v>
      </c>
      <c r="C492" s="1" t="s">
        <v>19</v>
      </c>
      <c r="D492" s="5">
        <v>46266.583333333336</v>
      </c>
      <c r="E492" s="5">
        <v>46327.041666666664</v>
      </c>
      <c r="F492" s="6">
        <v>24.0</v>
      </c>
      <c r="G492" s="1" t="s">
        <v>14</v>
      </c>
      <c r="H492" s="7">
        <f t="shared" ref="H492:I492" si="493">DATE(MID(D492,7,4), MID(D492,4,2), LEFT(D492,2)) + TIMEVALUE(MID(D492,12,5))
</f>
        <v>46031.58333</v>
      </c>
      <c r="I492" s="7">
        <f t="shared" si="493"/>
        <v>46033.04167</v>
      </c>
      <c r="J492" s="4">
        <f t="shared" si="3"/>
        <v>35</v>
      </c>
      <c r="K492" s="4" t="str">
        <f t="shared" si="4"/>
        <v>Breached</v>
      </c>
    </row>
    <row r="493">
      <c r="A493" s="1" t="s">
        <v>953</v>
      </c>
      <c r="B493" s="1" t="s">
        <v>18</v>
      </c>
      <c r="C493" s="1" t="s">
        <v>12</v>
      </c>
      <c r="D493" s="6" t="s">
        <v>954</v>
      </c>
      <c r="E493" s="6" t="s">
        <v>502</v>
      </c>
      <c r="F493" s="6">
        <v>72.0</v>
      </c>
      <c r="G493" s="1" t="s">
        <v>14</v>
      </c>
      <c r="H493" s="7">
        <f t="shared" ref="H493:I493" si="494">DATE(MID(D493,7,4), MID(D493,4,2), LEFT(D493,2)) + TIMEVALUE(MID(D493,12,5))
</f>
        <v>46103.25</v>
      </c>
      <c r="I493" s="7">
        <f t="shared" si="494"/>
        <v>46106.08333</v>
      </c>
      <c r="J493" s="4">
        <f t="shared" si="3"/>
        <v>68</v>
      </c>
      <c r="K493" s="4" t="str">
        <f t="shared" si="4"/>
        <v>Within SLA</v>
      </c>
    </row>
    <row r="494">
      <c r="A494" s="1" t="s">
        <v>955</v>
      </c>
      <c r="B494" s="1" t="s">
        <v>34</v>
      </c>
      <c r="C494" s="1" t="s">
        <v>12</v>
      </c>
      <c r="D494" s="5">
        <v>46115.416666666664</v>
      </c>
      <c r="E494" s="5">
        <v>46145.875</v>
      </c>
      <c r="F494" s="6">
        <v>72.0</v>
      </c>
      <c r="G494" s="1" t="s">
        <v>14</v>
      </c>
      <c r="H494" s="7">
        <f t="shared" ref="H494:I494" si="495">DATE(MID(D494,7,4), MID(D494,4,2), LEFT(D494,2)) + TIMEVALUE(MID(D494,12,5))
</f>
        <v>46085.41667</v>
      </c>
      <c r="I494" s="7">
        <f t="shared" si="495"/>
        <v>46086.875</v>
      </c>
      <c r="J494" s="4">
        <f t="shared" si="3"/>
        <v>35</v>
      </c>
      <c r="K494" s="4" t="str">
        <f t="shared" si="4"/>
        <v>Within SLA</v>
      </c>
    </row>
    <row r="495">
      <c r="A495" s="1" t="s">
        <v>956</v>
      </c>
      <c r="B495" s="1" t="s">
        <v>11</v>
      </c>
      <c r="C495" s="1" t="s">
        <v>12</v>
      </c>
      <c r="D495" s="6" t="s">
        <v>957</v>
      </c>
      <c r="E495" s="6" t="s">
        <v>509</v>
      </c>
      <c r="F495" s="6">
        <v>72.0</v>
      </c>
      <c r="G495" s="1" t="s">
        <v>14</v>
      </c>
      <c r="H495" s="7">
        <f t="shared" ref="H495:I495" si="496">DATE(MID(D495,7,4), MID(D495,4,2), LEFT(D495,2)) + TIMEVALUE(MID(D495,12,5))
</f>
        <v>46076.20833</v>
      </c>
      <c r="I495" s="7">
        <f t="shared" si="496"/>
        <v>46080.16667</v>
      </c>
      <c r="J495" s="4">
        <f t="shared" si="3"/>
        <v>95</v>
      </c>
      <c r="K495" s="4" t="str">
        <f t="shared" si="4"/>
        <v>Breached</v>
      </c>
    </row>
    <row r="496">
      <c r="A496" s="1" t="s">
        <v>958</v>
      </c>
      <c r="B496" s="1" t="s">
        <v>23</v>
      </c>
      <c r="C496" s="1" t="s">
        <v>19</v>
      </c>
      <c r="D496" s="6" t="s">
        <v>959</v>
      </c>
      <c r="E496" s="6" t="s">
        <v>26</v>
      </c>
      <c r="F496" s="6">
        <v>24.0</v>
      </c>
      <c r="G496" s="1" t="s">
        <v>14</v>
      </c>
      <c r="H496" s="7">
        <f t="shared" ref="H496:I496" si="497">DATE(MID(D496,7,4), MID(D496,4,2), LEFT(D496,2)) + TIMEVALUE(MID(D496,12,5))
</f>
        <v>46080.375</v>
      </c>
      <c r="I496" s="7">
        <f t="shared" si="497"/>
        <v>46081.08333</v>
      </c>
      <c r="J496" s="4">
        <f t="shared" si="3"/>
        <v>17</v>
      </c>
      <c r="K496" s="4" t="str">
        <f t="shared" si="4"/>
        <v>Within SLA</v>
      </c>
    </row>
    <row r="497">
      <c r="A497" s="1" t="s">
        <v>960</v>
      </c>
      <c r="B497" s="1" t="s">
        <v>16</v>
      </c>
      <c r="C497" s="1" t="s">
        <v>12</v>
      </c>
      <c r="D497" s="6" t="s">
        <v>961</v>
      </c>
      <c r="E497" s="6" t="s">
        <v>962</v>
      </c>
      <c r="F497" s="6">
        <v>72.0</v>
      </c>
      <c r="G497" s="1" t="s">
        <v>14</v>
      </c>
      <c r="H497" s="7">
        <f t="shared" ref="H497:I497" si="498">DATE(MID(D497,7,4), MID(D497,4,2), LEFT(D497,2)) + TIMEVALUE(MID(D497,12,5))
</f>
        <v>46100.375</v>
      </c>
      <c r="I497" s="7">
        <f t="shared" si="498"/>
        <v>46103</v>
      </c>
      <c r="J497" s="4">
        <f t="shared" si="3"/>
        <v>63</v>
      </c>
      <c r="K497" s="4" t="str">
        <f t="shared" si="4"/>
        <v>Within SLA</v>
      </c>
    </row>
    <row r="498">
      <c r="A498" s="1" t="s">
        <v>963</v>
      </c>
      <c r="B498" s="1" t="s">
        <v>11</v>
      </c>
      <c r="C498" s="1" t="s">
        <v>19</v>
      </c>
      <c r="D498" s="5">
        <v>46328.041666666664</v>
      </c>
      <c r="E498" s="6" t="s">
        <v>964</v>
      </c>
      <c r="F498" s="6">
        <v>24.0</v>
      </c>
      <c r="G498" s="1" t="s">
        <v>14</v>
      </c>
      <c r="H498" s="7">
        <f t="shared" ref="H498:I498" si="499">DATE(MID(D498,7,4), MID(D498,4,2), LEFT(D498,2)) + TIMEVALUE(MID(D498,12,5))
</f>
        <v>46064.04167</v>
      </c>
      <c r="I498" s="7">
        <f t="shared" si="499"/>
        <v>46067.08333</v>
      </c>
      <c r="J498" s="4">
        <f t="shared" si="3"/>
        <v>73</v>
      </c>
      <c r="K498" s="4" t="str">
        <f t="shared" si="4"/>
        <v>Breached</v>
      </c>
    </row>
    <row r="499">
      <c r="A499" s="1" t="s">
        <v>965</v>
      </c>
      <c r="B499" s="1" t="s">
        <v>16</v>
      </c>
      <c r="C499" s="1" t="s">
        <v>35</v>
      </c>
      <c r="D499" s="6" t="s">
        <v>966</v>
      </c>
      <c r="E499" s="6" t="s">
        <v>927</v>
      </c>
      <c r="F499" s="6">
        <v>48.0</v>
      </c>
      <c r="G499" s="1" t="s">
        <v>14</v>
      </c>
      <c r="H499" s="7">
        <f t="shared" ref="H499:I499" si="500">DATE(MID(D499,7,4), MID(D499,4,2), LEFT(D499,2)) + TIMEVALUE(MID(D499,12,5))
</f>
        <v>46098.45833</v>
      </c>
      <c r="I499" s="7">
        <f t="shared" si="500"/>
        <v>46099.54167</v>
      </c>
      <c r="J499" s="4">
        <f t="shared" si="3"/>
        <v>26</v>
      </c>
      <c r="K499" s="4" t="str">
        <f t="shared" si="4"/>
        <v>Within SLA</v>
      </c>
    </row>
    <row r="500">
      <c r="A500" s="1" t="s">
        <v>967</v>
      </c>
      <c r="B500" s="1" t="s">
        <v>11</v>
      </c>
      <c r="C500" s="1" t="s">
        <v>12</v>
      </c>
      <c r="D500" s="6" t="s">
        <v>968</v>
      </c>
      <c r="E500" s="6" t="s">
        <v>969</v>
      </c>
      <c r="F500" s="6">
        <v>72.0</v>
      </c>
      <c r="G500" s="1" t="s">
        <v>14</v>
      </c>
      <c r="H500" s="7">
        <f t="shared" ref="H500:I500" si="501">DATE(MID(D500,7,4), MID(D500,4,2), LEFT(D500,2)) + TIMEVALUE(MID(D500,12,5))
</f>
        <v>46049.33333</v>
      </c>
      <c r="I500" s="7">
        <f t="shared" si="501"/>
        <v>46051.66667</v>
      </c>
      <c r="J500" s="4">
        <f t="shared" si="3"/>
        <v>56</v>
      </c>
      <c r="K500" s="4" t="str">
        <f t="shared" si="4"/>
        <v>Within SLA</v>
      </c>
    </row>
    <row r="501">
      <c r="A501" s="1" t="s">
        <v>970</v>
      </c>
      <c r="B501" s="1" t="s">
        <v>16</v>
      </c>
      <c r="C501" s="1" t="s">
        <v>12</v>
      </c>
      <c r="D501" s="6" t="s">
        <v>971</v>
      </c>
      <c r="E501" s="5">
        <v>46024.708333333336</v>
      </c>
      <c r="F501" s="6">
        <v>72.0</v>
      </c>
      <c r="G501" s="1" t="s">
        <v>14</v>
      </c>
      <c r="H501" s="7">
        <f t="shared" ref="H501:I501" si="502">DATE(MID(D501,7,4), MID(D501,4,2), LEFT(D501,2)) + TIMEVALUE(MID(D501,12,5))
</f>
        <v>46053.875</v>
      </c>
      <c r="I501" s="7">
        <f t="shared" si="502"/>
        <v>46054.70833</v>
      </c>
      <c r="J501" s="4">
        <f t="shared" si="3"/>
        <v>20</v>
      </c>
      <c r="K501" s="4" t="str">
        <f t="shared" si="4"/>
        <v>Within SLA</v>
      </c>
    </row>
    <row r="502">
      <c r="A502" s="1" t="s">
        <v>972</v>
      </c>
      <c r="B502" s="1" t="s">
        <v>23</v>
      </c>
      <c r="C502" s="1" t="s">
        <v>35</v>
      </c>
      <c r="D502" s="6" t="s">
        <v>973</v>
      </c>
      <c r="E502" s="5">
        <v>46025.208333333336</v>
      </c>
      <c r="F502" s="6">
        <v>48.0</v>
      </c>
      <c r="G502" s="1" t="s">
        <v>14</v>
      </c>
      <c r="H502" s="7">
        <f t="shared" ref="H502:I502" si="503">DATE(MID(D502,7,4), MID(D502,4,2), LEFT(D502,2)) + TIMEVALUE(MID(D502,12,5))
</f>
        <v>46080.25</v>
      </c>
      <c r="I502" s="7">
        <f t="shared" si="503"/>
        <v>46082.20833</v>
      </c>
      <c r="J502" s="4">
        <f t="shared" si="3"/>
        <v>47</v>
      </c>
      <c r="K502" s="4" t="str">
        <f t="shared" si="4"/>
        <v>Within SLA</v>
      </c>
    </row>
    <row r="503">
      <c r="A503" s="1" t="s">
        <v>974</v>
      </c>
      <c r="B503" s="1" t="s">
        <v>11</v>
      </c>
      <c r="C503" s="1" t="s">
        <v>35</v>
      </c>
      <c r="D503" s="5">
        <v>46175.25</v>
      </c>
      <c r="E503" s="5">
        <v>46267.625</v>
      </c>
      <c r="F503" s="6">
        <v>48.0</v>
      </c>
      <c r="G503" s="1" t="s">
        <v>14</v>
      </c>
      <c r="H503" s="7">
        <f t="shared" ref="H503:I503" si="504">DATE(MID(D503,7,4), MID(D503,4,2), LEFT(D503,2)) + TIMEVALUE(MID(D503,12,5))
</f>
        <v>46059.25</v>
      </c>
      <c r="I503" s="7">
        <f t="shared" si="504"/>
        <v>46062.625</v>
      </c>
      <c r="J503" s="4">
        <f t="shared" si="3"/>
        <v>81</v>
      </c>
      <c r="K503" s="4" t="str">
        <f t="shared" si="4"/>
        <v>Breached</v>
      </c>
    </row>
    <row r="504">
      <c r="A504" s="1" t="s">
        <v>975</v>
      </c>
      <c r="B504" s="1" t="s">
        <v>18</v>
      </c>
      <c r="C504" s="1" t="s">
        <v>19</v>
      </c>
      <c r="D504" s="6" t="s">
        <v>976</v>
      </c>
      <c r="E504" s="6" t="s">
        <v>411</v>
      </c>
      <c r="F504" s="6">
        <v>24.0</v>
      </c>
      <c r="G504" s="1" t="s">
        <v>14</v>
      </c>
      <c r="H504" s="7">
        <f t="shared" ref="H504:I504" si="505">DATE(MID(D504,7,4), MID(D504,4,2), LEFT(D504,2)) + TIMEVALUE(MID(D504,12,5))
</f>
        <v>46041</v>
      </c>
      <c r="I504" s="7">
        <f t="shared" si="505"/>
        <v>46042.79167</v>
      </c>
      <c r="J504" s="4">
        <f t="shared" si="3"/>
        <v>43</v>
      </c>
      <c r="K504" s="4" t="str">
        <f t="shared" si="4"/>
        <v>Breached</v>
      </c>
    </row>
    <row r="505">
      <c r="A505" s="1" t="s">
        <v>977</v>
      </c>
      <c r="B505" s="1" t="s">
        <v>34</v>
      </c>
      <c r="C505" s="1" t="s">
        <v>19</v>
      </c>
      <c r="D505" s="6" t="s">
        <v>978</v>
      </c>
      <c r="E505" s="6" t="s">
        <v>680</v>
      </c>
      <c r="F505" s="6">
        <v>24.0</v>
      </c>
      <c r="G505" s="1" t="s">
        <v>14</v>
      </c>
      <c r="H505" s="7">
        <f t="shared" ref="H505:I505" si="506">DATE(MID(D505,7,4), MID(D505,4,2), LEFT(D505,2)) + TIMEVALUE(MID(D505,12,5))
</f>
        <v>46066.5</v>
      </c>
      <c r="I505" s="7">
        <f t="shared" si="506"/>
        <v>46068.41667</v>
      </c>
      <c r="J505" s="4">
        <f t="shared" si="3"/>
        <v>46</v>
      </c>
      <c r="K505" s="4" t="str">
        <f t="shared" si="4"/>
        <v>Breached</v>
      </c>
    </row>
    <row r="506">
      <c r="A506" s="1" t="s">
        <v>979</v>
      </c>
      <c r="B506" s="1" t="s">
        <v>34</v>
      </c>
      <c r="C506" s="1" t="s">
        <v>12</v>
      </c>
      <c r="D506" s="5">
        <v>46023.708333333336</v>
      </c>
      <c r="E506" s="5">
        <v>46082.291666666664</v>
      </c>
      <c r="F506" s="6">
        <v>72.0</v>
      </c>
      <c r="G506" s="1" t="s">
        <v>14</v>
      </c>
      <c r="H506" s="7">
        <f t="shared" ref="H506:I506" si="507">DATE(MID(D506,7,4), MID(D506,4,2), LEFT(D506,2)) + TIMEVALUE(MID(D506,12,5))
</f>
        <v>46023.70833</v>
      </c>
      <c r="I506" s="7">
        <f t="shared" si="507"/>
        <v>46025.29167</v>
      </c>
      <c r="J506" s="4">
        <f t="shared" si="3"/>
        <v>38</v>
      </c>
      <c r="K506" s="4" t="str">
        <f t="shared" si="4"/>
        <v>Within SLA</v>
      </c>
    </row>
    <row r="507">
      <c r="A507" s="1" t="s">
        <v>980</v>
      </c>
      <c r="B507" s="1" t="s">
        <v>18</v>
      </c>
      <c r="C507" s="1" t="s">
        <v>12</v>
      </c>
      <c r="D507" s="6" t="s">
        <v>981</v>
      </c>
      <c r="E507" s="6" t="s">
        <v>982</v>
      </c>
      <c r="F507" s="6">
        <v>72.0</v>
      </c>
      <c r="G507" s="1" t="s">
        <v>14</v>
      </c>
      <c r="H507" s="7">
        <f t="shared" ref="H507:I507" si="508">DATE(MID(D507,7,4), MID(D507,4,2), LEFT(D507,2)) + TIMEVALUE(MID(D507,12,5))
</f>
        <v>46068.04167</v>
      </c>
      <c r="I507" s="7">
        <f t="shared" si="508"/>
        <v>46070.29167</v>
      </c>
      <c r="J507" s="4">
        <f t="shared" si="3"/>
        <v>54</v>
      </c>
      <c r="K507" s="4" t="str">
        <f t="shared" si="4"/>
        <v>Within SLA</v>
      </c>
    </row>
    <row r="508">
      <c r="A508" s="1" t="s">
        <v>983</v>
      </c>
      <c r="B508" s="1" t="s">
        <v>11</v>
      </c>
      <c r="C508" s="1" t="s">
        <v>35</v>
      </c>
      <c r="D508" s="6" t="s">
        <v>984</v>
      </c>
      <c r="E508" s="6" t="s">
        <v>985</v>
      </c>
      <c r="F508" s="6">
        <v>48.0</v>
      </c>
      <c r="G508" s="1" t="s">
        <v>14</v>
      </c>
      <c r="H508" s="7">
        <f t="shared" ref="H508:I508" si="509">DATE(MID(D508,7,4), MID(D508,4,2), LEFT(D508,2)) + TIMEVALUE(MID(D508,12,5))
</f>
        <v>46040.125</v>
      </c>
      <c r="I508" s="7">
        <f t="shared" si="509"/>
        <v>46040.66667</v>
      </c>
      <c r="J508" s="4">
        <f t="shared" si="3"/>
        <v>13</v>
      </c>
      <c r="K508" s="4" t="str">
        <f t="shared" si="4"/>
        <v>Within SLA</v>
      </c>
    </row>
    <row r="509">
      <c r="A509" s="1" t="s">
        <v>986</v>
      </c>
      <c r="B509" s="1" t="s">
        <v>16</v>
      </c>
      <c r="C509" s="1" t="s">
        <v>35</v>
      </c>
      <c r="D509" s="6" t="s">
        <v>987</v>
      </c>
      <c r="E509" s="6" t="s">
        <v>139</v>
      </c>
      <c r="F509" s="6">
        <v>48.0</v>
      </c>
      <c r="G509" s="1" t="s">
        <v>14</v>
      </c>
      <c r="H509" s="7">
        <f t="shared" ref="H509:I509" si="510">DATE(MID(D509,7,4), MID(D509,4,2), LEFT(D509,2)) + TIMEVALUE(MID(D509,12,5))
</f>
        <v>46071.20833</v>
      </c>
      <c r="I509" s="7">
        <f t="shared" si="510"/>
        <v>46073</v>
      </c>
      <c r="J509" s="4">
        <f t="shared" si="3"/>
        <v>43</v>
      </c>
      <c r="K509" s="4" t="str">
        <f t="shared" si="4"/>
        <v>Within SLA</v>
      </c>
    </row>
    <row r="510">
      <c r="A510" s="1" t="s">
        <v>988</v>
      </c>
      <c r="B510" s="1" t="s">
        <v>34</v>
      </c>
      <c r="C510" s="1" t="s">
        <v>35</v>
      </c>
      <c r="D510" s="5">
        <v>46206.166666666664</v>
      </c>
      <c r="E510" s="5">
        <v>46268.916666666664</v>
      </c>
      <c r="F510" s="6">
        <v>48.0</v>
      </c>
      <c r="G510" s="1" t="s">
        <v>14</v>
      </c>
      <c r="H510" s="7">
        <f t="shared" ref="H510:I510" si="511">DATE(MID(D510,7,4), MID(D510,4,2), LEFT(D510,2)) + TIMEVALUE(MID(D510,12,5))
</f>
        <v>46088.16667</v>
      </c>
      <c r="I510" s="7">
        <f t="shared" si="511"/>
        <v>46090.91667</v>
      </c>
      <c r="J510" s="4">
        <f t="shared" si="3"/>
        <v>66</v>
      </c>
      <c r="K510" s="4" t="str">
        <f t="shared" si="4"/>
        <v>Breached</v>
      </c>
    </row>
    <row r="511">
      <c r="A511" s="1" t="s">
        <v>989</v>
      </c>
      <c r="B511" s="1" t="s">
        <v>18</v>
      </c>
      <c r="C511" s="1" t="s">
        <v>12</v>
      </c>
      <c r="D511" s="6" t="s">
        <v>990</v>
      </c>
      <c r="E511" s="6" t="s">
        <v>991</v>
      </c>
      <c r="F511" s="6">
        <v>72.0</v>
      </c>
      <c r="G511" s="1" t="s">
        <v>14</v>
      </c>
      <c r="H511" s="7">
        <f t="shared" ref="H511:I511" si="512">DATE(MID(D511,7,4), MID(D511,4,2), LEFT(D511,2)) + TIMEVALUE(MID(D511,12,5))
</f>
        <v>46105.83333</v>
      </c>
      <c r="I511" s="7">
        <f t="shared" si="512"/>
        <v>46109.29167</v>
      </c>
      <c r="J511" s="4">
        <f t="shared" si="3"/>
        <v>83</v>
      </c>
      <c r="K511" s="4" t="str">
        <f t="shared" si="4"/>
        <v>Breached</v>
      </c>
    </row>
    <row r="512">
      <c r="A512" s="1" t="s">
        <v>992</v>
      </c>
      <c r="B512" s="1" t="s">
        <v>34</v>
      </c>
      <c r="C512" s="1" t="s">
        <v>12</v>
      </c>
      <c r="D512" s="6" t="s">
        <v>993</v>
      </c>
      <c r="E512" s="6" t="s">
        <v>994</v>
      </c>
      <c r="F512" s="6">
        <v>72.0</v>
      </c>
      <c r="G512" s="1" t="s">
        <v>14</v>
      </c>
      <c r="H512" s="7">
        <f t="shared" ref="H512:I512" si="513">DATE(MID(D512,7,4), MID(D512,4,2), LEFT(D512,2)) + TIMEVALUE(MID(D512,12,5))
</f>
        <v>46045.54167</v>
      </c>
      <c r="I512" s="7">
        <f t="shared" si="513"/>
        <v>46047.54167</v>
      </c>
      <c r="J512" s="4">
        <f t="shared" si="3"/>
        <v>48</v>
      </c>
      <c r="K512" s="4" t="str">
        <f t="shared" si="4"/>
        <v>Within SLA</v>
      </c>
    </row>
    <row r="513">
      <c r="A513" s="1" t="s">
        <v>995</v>
      </c>
      <c r="B513" s="1" t="s">
        <v>11</v>
      </c>
      <c r="C513" s="1" t="s">
        <v>35</v>
      </c>
      <c r="D513" s="6" t="s">
        <v>996</v>
      </c>
      <c r="E513" s="6" t="s">
        <v>997</v>
      </c>
      <c r="F513" s="6">
        <v>48.0</v>
      </c>
      <c r="G513" s="1" t="s">
        <v>14</v>
      </c>
      <c r="H513" s="7">
        <f t="shared" ref="H513:I513" si="514">DATE(MID(D513,7,4), MID(D513,4,2), LEFT(D513,2)) + TIMEVALUE(MID(D513,12,5))
</f>
        <v>46095.125</v>
      </c>
      <c r="I513" s="7">
        <f t="shared" si="514"/>
        <v>46097.45833</v>
      </c>
      <c r="J513" s="4">
        <f t="shared" si="3"/>
        <v>56</v>
      </c>
      <c r="K513" s="4" t="str">
        <f t="shared" si="4"/>
        <v>Breached</v>
      </c>
    </row>
    <row r="514">
      <c r="A514" s="1" t="s">
        <v>998</v>
      </c>
      <c r="B514" s="1" t="s">
        <v>23</v>
      </c>
      <c r="C514" s="1" t="s">
        <v>19</v>
      </c>
      <c r="D514" s="5">
        <v>46084.625</v>
      </c>
      <c r="E514" s="5">
        <v>46115.625</v>
      </c>
      <c r="F514" s="6">
        <v>24.0</v>
      </c>
      <c r="G514" s="1" t="s">
        <v>14</v>
      </c>
      <c r="H514" s="7">
        <f t="shared" ref="H514:I514" si="515">DATE(MID(D514,7,4), MID(D514,4,2), LEFT(D514,2)) + TIMEVALUE(MID(D514,12,5))
</f>
        <v>46084.625</v>
      </c>
      <c r="I514" s="7">
        <f t="shared" si="515"/>
        <v>46085.625</v>
      </c>
      <c r="J514" s="4">
        <f t="shared" si="3"/>
        <v>24</v>
      </c>
      <c r="K514" s="4" t="str">
        <f t="shared" si="4"/>
        <v>Within SLA</v>
      </c>
    </row>
    <row r="515">
      <c r="A515" s="1" t="s">
        <v>999</v>
      </c>
      <c r="B515" s="1" t="s">
        <v>16</v>
      </c>
      <c r="C515" s="1" t="s">
        <v>19</v>
      </c>
      <c r="D515" s="5">
        <v>46296.291666666664</v>
      </c>
      <c r="E515" s="5">
        <v>46327.083333333336</v>
      </c>
      <c r="F515" s="6">
        <v>24.0</v>
      </c>
      <c r="G515" s="1" t="s">
        <v>14</v>
      </c>
      <c r="H515" s="7">
        <f t="shared" ref="H515:I515" si="516">DATE(MID(D515,7,4), MID(D515,4,2), LEFT(D515,2)) + TIMEVALUE(MID(D515,12,5))
</f>
        <v>46032.29167</v>
      </c>
      <c r="I515" s="7">
        <f t="shared" si="516"/>
        <v>46033.08333</v>
      </c>
      <c r="J515" s="4">
        <f t="shared" si="3"/>
        <v>19</v>
      </c>
      <c r="K515" s="4" t="str">
        <f t="shared" si="4"/>
        <v>Within SLA</v>
      </c>
    </row>
    <row r="516">
      <c r="A516" s="1" t="s">
        <v>1000</v>
      </c>
      <c r="B516" s="1" t="s">
        <v>11</v>
      </c>
      <c r="C516" s="1" t="s">
        <v>12</v>
      </c>
      <c r="D516" s="5">
        <v>46083.333333333336</v>
      </c>
      <c r="E516" s="5">
        <v>46144.875</v>
      </c>
      <c r="F516" s="6">
        <v>72.0</v>
      </c>
      <c r="G516" s="1" t="s">
        <v>14</v>
      </c>
      <c r="H516" s="7">
        <f t="shared" ref="H516:I516" si="517">DATE(MID(D516,7,4), MID(D516,4,2), LEFT(D516,2)) + TIMEVALUE(MID(D516,12,5))
</f>
        <v>46056.33333</v>
      </c>
      <c r="I516" s="7">
        <f t="shared" si="517"/>
        <v>46058.875</v>
      </c>
      <c r="J516" s="4">
        <f t="shared" si="3"/>
        <v>61</v>
      </c>
      <c r="K516" s="4" t="str">
        <f t="shared" si="4"/>
        <v>Within SLA</v>
      </c>
    </row>
    <row r="517">
      <c r="A517" s="1" t="s">
        <v>1001</v>
      </c>
      <c r="B517" s="1" t="s">
        <v>18</v>
      </c>
      <c r="C517" s="1" t="s">
        <v>12</v>
      </c>
      <c r="D517" s="5">
        <v>46298.958333333336</v>
      </c>
      <c r="E517" s="5">
        <v>46359.083333333336</v>
      </c>
      <c r="F517" s="6">
        <v>72.0</v>
      </c>
      <c r="G517" s="1" t="s">
        <v>14</v>
      </c>
      <c r="H517" s="7">
        <f t="shared" ref="H517:I517" si="518">DATE(MID(D517,7,4), MID(D517,4,2), LEFT(D517,2)) + TIMEVALUE(MID(D517,12,5))
</f>
        <v>46091.95833</v>
      </c>
      <c r="I517" s="7">
        <f t="shared" si="518"/>
        <v>46093.08333</v>
      </c>
      <c r="J517" s="4">
        <f t="shared" si="3"/>
        <v>27</v>
      </c>
      <c r="K517" s="4" t="str">
        <f t="shared" si="4"/>
        <v>Within SLA</v>
      </c>
    </row>
    <row r="518">
      <c r="A518" s="1" t="s">
        <v>1002</v>
      </c>
      <c r="B518" s="1" t="s">
        <v>11</v>
      </c>
      <c r="C518" s="1" t="s">
        <v>19</v>
      </c>
      <c r="D518" s="5">
        <v>46025.083333333336</v>
      </c>
      <c r="E518" s="5">
        <v>46084.625</v>
      </c>
      <c r="F518" s="6">
        <v>24.0</v>
      </c>
      <c r="G518" s="1" t="s">
        <v>14</v>
      </c>
      <c r="H518" s="7">
        <f t="shared" ref="H518:I518" si="519">DATE(MID(D518,7,4), MID(D518,4,2), LEFT(D518,2)) + TIMEVALUE(MID(D518,12,5))
</f>
        <v>46082.08333</v>
      </c>
      <c r="I518" s="7">
        <f t="shared" si="519"/>
        <v>46084.625</v>
      </c>
      <c r="J518" s="4">
        <f t="shared" si="3"/>
        <v>61</v>
      </c>
      <c r="K518" s="4" t="str">
        <f t="shared" si="4"/>
        <v>Breached</v>
      </c>
    </row>
    <row r="519">
      <c r="A519" s="1" t="s">
        <v>1003</v>
      </c>
      <c r="B519" s="1" t="s">
        <v>11</v>
      </c>
      <c r="C519" s="1" t="s">
        <v>19</v>
      </c>
      <c r="D519" s="6" t="s">
        <v>1004</v>
      </c>
      <c r="E519" s="6" t="s">
        <v>1005</v>
      </c>
      <c r="F519" s="6">
        <v>24.0</v>
      </c>
      <c r="G519" s="1" t="s">
        <v>14</v>
      </c>
      <c r="H519" s="7">
        <f t="shared" ref="H519:I519" si="520">DATE(MID(D519,7,4), MID(D519,4,2), LEFT(D519,2)) + TIMEVALUE(MID(D519,12,5))
</f>
        <v>46100.25</v>
      </c>
      <c r="I519" s="7">
        <f t="shared" si="520"/>
        <v>46103.41667</v>
      </c>
      <c r="J519" s="4">
        <f t="shared" si="3"/>
        <v>76</v>
      </c>
      <c r="K519" s="4" t="str">
        <f t="shared" si="4"/>
        <v>Breached</v>
      </c>
    </row>
    <row r="520">
      <c r="A520" s="1" t="s">
        <v>1006</v>
      </c>
      <c r="B520" s="1" t="s">
        <v>11</v>
      </c>
      <c r="C520" s="1" t="s">
        <v>19</v>
      </c>
      <c r="D520" s="6" t="s">
        <v>1007</v>
      </c>
      <c r="E520" s="6" t="s">
        <v>694</v>
      </c>
      <c r="F520" s="6">
        <v>24.0</v>
      </c>
      <c r="G520" s="1" t="s">
        <v>14</v>
      </c>
      <c r="H520" s="7">
        <f t="shared" ref="H520:I520" si="521">DATE(MID(D520,7,4), MID(D520,4,2), LEFT(D520,2)) + TIMEVALUE(MID(D520,12,5))
</f>
        <v>46103.66667</v>
      </c>
      <c r="I520" s="7">
        <f t="shared" si="521"/>
        <v>46106.91667</v>
      </c>
      <c r="J520" s="4">
        <f t="shared" si="3"/>
        <v>78</v>
      </c>
      <c r="K520" s="4" t="str">
        <f t="shared" si="4"/>
        <v>Breached</v>
      </c>
    </row>
    <row r="521">
      <c r="A521" s="1" t="s">
        <v>1008</v>
      </c>
      <c r="B521" s="1" t="s">
        <v>16</v>
      </c>
      <c r="C521" s="1" t="s">
        <v>19</v>
      </c>
      <c r="D521" s="6" t="s">
        <v>1009</v>
      </c>
      <c r="E521" s="6" t="s">
        <v>1010</v>
      </c>
      <c r="F521" s="6">
        <v>24.0</v>
      </c>
      <c r="G521" s="1" t="s">
        <v>14</v>
      </c>
      <c r="H521" s="7">
        <f t="shared" ref="H521:I521" si="522">DATE(MID(D521,7,4), MID(D521,4,2), LEFT(D521,2)) + TIMEVALUE(MID(D521,12,5))
</f>
        <v>46074.125</v>
      </c>
      <c r="I521" s="7">
        <f t="shared" si="522"/>
        <v>46075.625</v>
      </c>
      <c r="J521" s="4">
        <f t="shared" si="3"/>
        <v>36</v>
      </c>
      <c r="K521" s="4" t="str">
        <f t="shared" si="4"/>
        <v>Breached</v>
      </c>
    </row>
    <row r="522">
      <c r="A522" s="1" t="s">
        <v>1011</v>
      </c>
      <c r="B522" s="1" t="s">
        <v>34</v>
      </c>
      <c r="C522" s="1" t="s">
        <v>35</v>
      </c>
      <c r="D522" s="6" t="s">
        <v>1012</v>
      </c>
      <c r="E522" s="6" t="s">
        <v>1013</v>
      </c>
      <c r="F522" s="6">
        <v>48.0</v>
      </c>
      <c r="G522" s="1" t="s">
        <v>14</v>
      </c>
      <c r="H522" s="7">
        <f t="shared" ref="H522:I522" si="523">DATE(MID(D522,7,4), MID(D522,4,2), LEFT(D522,2)) + TIMEVALUE(MID(D522,12,5))
</f>
        <v>46102.375</v>
      </c>
      <c r="I522" s="7">
        <f t="shared" si="523"/>
        <v>46105.5</v>
      </c>
      <c r="J522" s="4">
        <f t="shared" si="3"/>
        <v>75</v>
      </c>
      <c r="K522" s="4" t="str">
        <f t="shared" si="4"/>
        <v>Breached</v>
      </c>
    </row>
    <row r="523">
      <c r="A523" s="1" t="s">
        <v>1014</v>
      </c>
      <c r="B523" s="1" t="s">
        <v>11</v>
      </c>
      <c r="C523" s="1" t="s">
        <v>12</v>
      </c>
      <c r="D523" s="5">
        <v>46024.708333333336</v>
      </c>
      <c r="E523" s="5">
        <v>46055.708333333336</v>
      </c>
      <c r="F523" s="6">
        <v>72.0</v>
      </c>
      <c r="G523" s="1" t="s">
        <v>14</v>
      </c>
      <c r="H523" s="7">
        <f t="shared" ref="H523:I523" si="524">DATE(MID(D523,7,4), MID(D523,4,2), LEFT(D523,2)) + TIMEVALUE(MID(D523,12,5))
</f>
        <v>46054.70833</v>
      </c>
      <c r="I523" s="7">
        <f t="shared" si="524"/>
        <v>46055.70833</v>
      </c>
      <c r="J523" s="4">
        <f t="shared" si="3"/>
        <v>24</v>
      </c>
      <c r="K523" s="4" t="str">
        <f t="shared" si="4"/>
        <v>Within SLA</v>
      </c>
    </row>
    <row r="524">
      <c r="A524" s="1" t="s">
        <v>1015</v>
      </c>
      <c r="B524" s="1" t="s">
        <v>18</v>
      </c>
      <c r="C524" s="1" t="s">
        <v>12</v>
      </c>
      <c r="D524" s="5">
        <v>46296.416666666664</v>
      </c>
      <c r="E524" s="6" t="s">
        <v>1016</v>
      </c>
      <c r="F524" s="6">
        <v>72.0</v>
      </c>
      <c r="G524" s="1" t="s">
        <v>14</v>
      </c>
      <c r="H524" s="7">
        <f t="shared" ref="H524:I524" si="525">DATE(MID(D524,7,4), MID(D524,4,2), LEFT(D524,2)) + TIMEVALUE(MID(D524,12,5))
</f>
        <v>46032.41667</v>
      </c>
      <c r="I524" s="7">
        <f t="shared" si="525"/>
        <v>46035.79167</v>
      </c>
      <c r="J524" s="4">
        <f t="shared" si="3"/>
        <v>81</v>
      </c>
      <c r="K524" s="4" t="str">
        <f t="shared" si="4"/>
        <v>Breached</v>
      </c>
    </row>
    <row r="525">
      <c r="A525" s="1" t="s">
        <v>1017</v>
      </c>
      <c r="B525" s="1" t="s">
        <v>16</v>
      </c>
      <c r="C525" s="1" t="s">
        <v>12</v>
      </c>
      <c r="D525" s="6" t="s">
        <v>432</v>
      </c>
      <c r="E525" s="6" t="s">
        <v>111</v>
      </c>
      <c r="F525" s="6">
        <v>72.0</v>
      </c>
      <c r="G525" s="1" t="s">
        <v>14</v>
      </c>
      <c r="H525" s="7">
        <f t="shared" ref="H525:I525" si="526">DATE(MID(D525,7,4), MID(D525,4,2), LEFT(D525,2)) + TIMEVALUE(MID(D525,12,5))
</f>
        <v>46043.83333</v>
      </c>
      <c r="I525" s="7">
        <f t="shared" si="526"/>
        <v>46045.91667</v>
      </c>
      <c r="J525" s="4">
        <f t="shared" si="3"/>
        <v>50</v>
      </c>
      <c r="K525" s="4" t="str">
        <f t="shared" si="4"/>
        <v>Within SLA</v>
      </c>
    </row>
    <row r="526">
      <c r="A526" s="1" t="s">
        <v>1018</v>
      </c>
      <c r="B526" s="1" t="s">
        <v>23</v>
      </c>
      <c r="C526" s="1" t="s">
        <v>12</v>
      </c>
      <c r="D526" s="6" t="s">
        <v>180</v>
      </c>
      <c r="E526" s="6" t="s">
        <v>1019</v>
      </c>
      <c r="F526" s="6">
        <v>72.0</v>
      </c>
      <c r="G526" s="1" t="s">
        <v>14</v>
      </c>
      <c r="H526" s="7">
        <f t="shared" ref="H526:I526" si="527">DATE(MID(D526,7,4), MID(D526,4,2), LEFT(D526,2)) + TIMEVALUE(MID(D526,12,5))
</f>
        <v>46040.08333</v>
      </c>
      <c r="I526" s="7">
        <f t="shared" si="527"/>
        <v>46043.79167</v>
      </c>
      <c r="J526" s="4">
        <f t="shared" si="3"/>
        <v>89</v>
      </c>
      <c r="K526" s="4" t="str">
        <f t="shared" si="4"/>
        <v>Breached</v>
      </c>
    </row>
    <row r="527">
      <c r="A527" s="1" t="s">
        <v>1020</v>
      </c>
      <c r="B527" s="1" t="s">
        <v>16</v>
      </c>
      <c r="C527" s="1" t="s">
        <v>35</v>
      </c>
      <c r="D527" s="6" t="s">
        <v>435</v>
      </c>
      <c r="E527" s="6" t="s">
        <v>1021</v>
      </c>
      <c r="F527" s="6">
        <v>48.0</v>
      </c>
      <c r="G527" s="1" t="s">
        <v>14</v>
      </c>
      <c r="H527" s="7">
        <f t="shared" ref="H527:I527" si="528">DATE(MID(D527,7,4), MID(D527,4,2), LEFT(D527,2)) + TIMEVALUE(MID(D527,12,5))
</f>
        <v>46039.625</v>
      </c>
      <c r="I527" s="7">
        <f t="shared" si="528"/>
        <v>46040.20833</v>
      </c>
      <c r="J527" s="4">
        <f t="shared" si="3"/>
        <v>14</v>
      </c>
      <c r="K527" s="4" t="str">
        <f t="shared" si="4"/>
        <v>Within SLA</v>
      </c>
    </row>
    <row r="528">
      <c r="A528" s="1" t="s">
        <v>1022</v>
      </c>
      <c r="B528" s="1" t="s">
        <v>18</v>
      </c>
      <c r="C528" s="1" t="s">
        <v>19</v>
      </c>
      <c r="D528" s="6" t="s">
        <v>140</v>
      </c>
      <c r="E528" s="6" t="s">
        <v>673</v>
      </c>
      <c r="F528" s="6">
        <v>24.0</v>
      </c>
      <c r="G528" s="1" t="s">
        <v>14</v>
      </c>
      <c r="H528" s="7">
        <f t="shared" ref="H528:I528" si="529">DATE(MID(D528,7,4), MID(D528,4,2), LEFT(D528,2)) + TIMEVALUE(MID(D528,12,5))
</f>
        <v>46074.33333</v>
      </c>
      <c r="I528" s="7">
        <f t="shared" si="529"/>
        <v>46076.625</v>
      </c>
      <c r="J528" s="4">
        <f t="shared" si="3"/>
        <v>55</v>
      </c>
      <c r="K528" s="4" t="str">
        <f t="shared" si="4"/>
        <v>Breached</v>
      </c>
    </row>
    <row r="529">
      <c r="A529" s="1" t="s">
        <v>1023</v>
      </c>
      <c r="B529" s="1" t="s">
        <v>11</v>
      </c>
      <c r="C529" s="1" t="s">
        <v>35</v>
      </c>
      <c r="D529" s="5">
        <v>46145.333333333336</v>
      </c>
      <c r="E529" s="5">
        <v>46206.291666666664</v>
      </c>
      <c r="F529" s="6">
        <v>48.0</v>
      </c>
      <c r="G529" s="1" t="s">
        <v>14</v>
      </c>
      <c r="H529" s="7">
        <f t="shared" ref="H529:I529" si="530">DATE(MID(D529,7,4), MID(D529,4,2), LEFT(D529,2)) + TIMEVALUE(MID(D529,12,5))
</f>
        <v>46086.33333</v>
      </c>
      <c r="I529" s="7">
        <f t="shared" si="530"/>
        <v>46088.29167</v>
      </c>
      <c r="J529" s="4">
        <f t="shared" si="3"/>
        <v>47</v>
      </c>
      <c r="K529" s="4" t="str">
        <f t="shared" si="4"/>
        <v>Within SLA</v>
      </c>
    </row>
    <row r="530">
      <c r="A530" s="1" t="s">
        <v>1024</v>
      </c>
      <c r="B530" s="1" t="s">
        <v>16</v>
      </c>
      <c r="C530" s="1" t="s">
        <v>19</v>
      </c>
      <c r="D530" s="6" t="s">
        <v>595</v>
      </c>
      <c r="E530" s="6" t="s">
        <v>612</v>
      </c>
      <c r="F530" s="6">
        <v>24.0</v>
      </c>
      <c r="G530" s="1" t="s">
        <v>14</v>
      </c>
      <c r="H530" s="7">
        <f t="shared" ref="H530:I530" si="531">DATE(MID(D530,7,4), MID(D530,4,2), LEFT(D530,2)) + TIMEVALUE(MID(D530,12,5))
</f>
        <v>46046.58333</v>
      </c>
      <c r="I530" s="7">
        <f t="shared" si="531"/>
        <v>46050.58333</v>
      </c>
      <c r="J530" s="4">
        <f t="shared" si="3"/>
        <v>96</v>
      </c>
      <c r="K530" s="4" t="str">
        <f t="shared" si="4"/>
        <v>Breached</v>
      </c>
    </row>
    <row r="531">
      <c r="A531" s="1" t="s">
        <v>1025</v>
      </c>
      <c r="B531" s="1" t="s">
        <v>18</v>
      </c>
      <c r="C531" s="1" t="s">
        <v>19</v>
      </c>
      <c r="D531" s="5">
        <v>46204.208333333336</v>
      </c>
      <c r="E531" s="5">
        <v>46235.5</v>
      </c>
      <c r="F531" s="6">
        <v>24.0</v>
      </c>
      <c r="G531" s="1" t="s">
        <v>14</v>
      </c>
      <c r="H531" s="7">
        <f t="shared" ref="H531:I531" si="532">DATE(MID(D531,7,4), MID(D531,4,2), LEFT(D531,2)) + TIMEVALUE(MID(D531,12,5))
</f>
        <v>46029.20833</v>
      </c>
      <c r="I531" s="7">
        <f t="shared" si="532"/>
        <v>46030.5</v>
      </c>
      <c r="J531" s="4">
        <f t="shared" si="3"/>
        <v>31</v>
      </c>
      <c r="K531" s="4" t="str">
        <f t="shared" si="4"/>
        <v>Breached</v>
      </c>
    </row>
    <row r="532">
      <c r="A532" s="1" t="s">
        <v>1026</v>
      </c>
      <c r="B532" s="1" t="s">
        <v>11</v>
      </c>
      <c r="C532" s="1" t="s">
        <v>12</v>
      </c>
      <c r="D532" s="6" t="s">
        <v>1027</v>
      </c>
      <c r="E532" s="6" t="s">
        <v>115</v>
      </c>
      <c r="F532" s="6">
        <v>72.0</v>
      </c>
      <c r="G532" s="1" t="s">
        <v>14</v>
      </c>
      <c r="H532" s="7">
        <f t="shared" ref="H532:I532" si="533">DATE(MID(D532,7,4), MID(D532,4,2), LEFT(D532,2)) + TIMEVALUE(MID(D532,12,5))
</f>
        <v>46073.54167</v>
      </c>
      <c r="I532" s="7">
        <f t="shared" si="533"/>
        <v>46075.875</v>
      </c>
      <c r="J532" s="4">
        <f t="shared" si="3"/>
        <v>56</v>
      </c>
      <c r="K532" s="4" t="str">
        <f t="shared" si="4"/>
        <v>Within SLA</v>
      </c>
    </row>
    <row r="533">
      <c r="A533" s="1" t="s">
        <v>1028</v>
      </c>
      <c r="B533" s="1" t="s">
        <v>34</v>
      </c>
      <c r="C533" s="1" t="s">
        <v>35</v>
      </c>
      <c r="D533" s="5">
        <v>46175.333333333336</v>
      </c>
      <c r="E533" s="5">
        <v>46236.458333333336</v>
      </c>
      <c r="F533" s="6">
        <v>48.0</v>
      </c>
      <c r="G533" s="1" t="s">
        <v>14</v>
      </c>
      <c r="H533" s="7">
        <f t="shared" ref="H533:I533" si="534">DATE(MID(D533,7,4), MID(D533,4,2), LEFT(D533,2)) + TIMEVALUE(MID(D533,12,5))
</f>
        <v>46059.33333</v>
      </c>
      <c r="I533" s="7">
        <f t="shared" si="534"/>
        <v>46061.45833</v>
      </c>
      <c r="J533" s="4">
        <f t="shared" si="3"/>
        <v>51</v>
      </c>
      <c r="K533" s="4" t="str">
        <f t="shared" si="4"/>
        <v>Breached</v>
      </c>
    </row>
    <row r="534">
      <c r="A534" s="1" t="s">
        <v>1029</v>
      </c>
      <c r="B534" s="1" t="s">
        <v>16</v>
      </c>
      <c r="C534" s="1" t="s">
        <v>19</v>
      </c>
      <c r="D534" s="5">
        <v>46296.875</v>
      </c>
      <c r="E534" s="5">
        <v>46327.75</v>
      </c>
      <c r="F534" s="6">
        <v>24.0</v>
      </c>
      <c r="G534" s="1" t="s">
        <v>14</v>
      </c>
      <c r="H534" s="7">
        <f t="shared" ref="H534:I534" si="535">DATE(MID(D534,7,4), MID(D534,4,2), LEFT(D534,2)) + TIMEVALUE(MID(D534,12,5))
</f>
        <v>46032.875</v>
      </c>
      <c r="I534" s="7">
        <f t="shared" si="535"/>
        <v>46033.75</v>
      </c>
      <c r="J534" s="4">
        <f t="shared" si="3"/>
        <v>21</v>
      </c>
      <c r="K534" s="4" t="str">
        <f t="shared" si="4"/>
        <v>Within SLA</v>
      </c>
    </row>
    <row r="535">
      <c r="A535" s="1" t="s">
        <v>1030</v>
      </c>
      <c r="B535" s="1" t="s">
        <v>11</v>
      </c>
      <c r="C535" s="1" t="s">
        <v>12</v>
      </c>
      <c r="D535" s="6" t="s">
        <v>1031</v>
      </c>
      <c r="E535" s="6" t="s">
        <v>1032</v>
      </c>
      <c r="F535" s="6">
        <v>72.0</v>
      </c>
      <c r="G535" s="1" t="s">
        <v>14</v>
      </c>
      <c r="H535" s="7">
        <f t="shared" ref="H535:I535" si="536">DATE(MID(D535,7,4), MID(D535,4,2), LEFT(D535,2)) + TIMEVALUE(MID(D535,12,5))
</f>
        <v>46048.875</v>
      </c>
      <c r="I535" s="7">
        <f t="shared" si="536"/>
        <v>46049.79167</v>
      </c>
      <c r="J535" s="4">
        <f t="shared" si="3"/>
        <v>22</v>
      </c>
      <c r="K535" s="4" t="str">
        <f t="shared" si="4"/>
        <v>Within SLA</v>
      </c>
    </row>
    <row r="536">
      <c r="A536" s="1" t="s">
        <v>1033</v>
      </c>
      <c r="B536" s="1" t="s">
        <v>18</v>
      </c>
      <c r="C536" s="1" t="s">
        <v>19</v>
      </c>
      <c r="D536" s="6" t="s">
        <v>1034</v>
      </c>
      <c r="E536" s="6" t="s">
        <v>1035</v>
      </c>
      <c r="F536" s="6">
        <v>24.0</v>
      </c>
      <c r="G536" s="1" t="s">
        <v>14</v>
      </c>
      <c r="H536" s="7">
        <f t="shared" ref="H536:I536" si="537">DATE(MID(D536,7,4), MID(D536,4,2), LEFT(D536,2)) + TIMEVALUE(MID(D536,12,5))
</f>
        <v>46096.5</v>
      </c>
      <c r="I536" s="7">
        <f t="shared" si="537"/>
        <v>46098.20833</v>
      </c>
      <c r="J536" s="4">
        <f t="shared" si="3"/>
        <v>41</v>
      </c>
      <c r="K536" s="4" t="str">
        <f t="shared" si="4"/>
        <v>Breached</v>
      </c>
    </row>
    <row r="537">
      <c r="A537" s="1" t="s">
        <v>1036</v>
      </c>
      <c r="B537" s="1" t="s">
        <v>23</v>
      </c>
      <c r="C537" s="1" t="s">
        <v>12</v>
      </c>
      <c r="D537" s="6" t="s">
        <v>344</v>
      </c>
      <c r="E537" s="6" t="s">
        <v>606</v>
      </c>
      <c r="F537" s="6">
        <v>72.0</v>
      </c>
      <c r="G537" s="1" t="s">
        <v>14</v>
      </c>
      <c r="H537" s="7">
        <f t="shared" ref="H537:I537" si="538">DATE(MID(D537,7,4), MID(D537,4,2), LEFT(D537,2)) + TIMEVALUE(MID(D537,12,5))
</f>
        <v>46046.29167</v>
      </c>
      <c r="I537" s="7">
        <f t="shared" si="538"/>
        <v>46046.79167</v>
      </c>
      <c r="J537" s="4">
        <f t="shared" si="3"/>
        <v>12</v>
      </c>
      <c r="K537" s="4" t="str">
        <f t="shared" si="4"/>
        <v>Within SLA</v>
      </c>
    </row>
    <row r="538">
      <c r="A538" s="1" t="s">
        <v>1037</v>
      </c>
      <c r="B538" s="1" t="s">
        <v>18</v>
      </c>
      <c r="C538" s="1" t="s">
        <v>35</v>
      </c>
      <c r="D538" s="5">
        <v>46206.083333333336</v>
      </c>
      <c r="E538" s="5">
        <v>46206.75</v>
      </c>
      <c r="F538" s="6">
        <v>48.0</v>
      </c>
      <c r="G538" s="1" t="s">
        <v>14</v>
      </c>
      <c r="H538" s="7">
        <f t="shared" ref="H538:I538" si="539">DATE(MID(D538,7,4), MID(D538,4,2), LEFT(D538,2)) + TIMEVALUE(MID(D538,12,5))
</f>
        <v>46088.08333</v>
      </c>
      <c r="I538" s="7">
        <f t="shared" si="539"/>
        <v>46088.75</v>
      </c>
      <c r="J538" s="4">
        <f t="shared" si="3"/>
        <v>16</v>
      </c>
      <c r="K538" s="4" t="str">
        <f t="shared" si="4"/>
        <v>Within SLA</v>
      </c>
    </row>
    <row r="539">
      <c r="A539" s="1" t="s">
        <v>1038</v>
      </c>
      <c r="B539" s="1" t="s">
        <v>34</v>
      </c>
      <c r="C539" s="1" t="s">
        <v>35</v>
      </c>
      <c r="D539" s="6" t="s">
        <v>1039</v>
      </c>
      <c r="E539" s="5">
        <v>46083.083333333336</v>
      </c>
      <c r="F539" s="6">
        <v>48.0</v>
      </c>
      <c r="G539" s="1" t="s">
        <v>14</v>
      </c>
      <c r="H539" s="7">
        <f t="shared" ref="H539:I539" si="540">DATE(MID(D539,7,4), MID(D539,4,2), LEFT(D539,2)) + TIMEVALUE(MID(D539,12,5))
</f>
        <v>46053.625</v>
      </c>
      <c r="I539" s="7">
        <f t="shared" si="540"/>
        <v>46056.08333</v>
      </c>
      <c r="J539" s="4">
        <f t="shared" si="3"/>
        <v>59</v>
      </c>
      <c r="K539" s="4" t="str">
        <f t="shared" si="4"/>
        <v>Breached</v>
      </c>
    </row>
    <row r="540">
      <c r="A540" s="1" t="s">
        <v>1040</v>
      </c>
      <c r="B540" s="1" t="s">
        <v>18</v>
      </c>
      <c r="C540" s="1" t="s">
        <v>19</v>
      </c>
      <c r="D540" s="5">
        <v>46054.333333333336</v>
      </c>
      <c r="E540" s="5">
        <v>46113.416666666664</v>
      </c>
      <c r="F540" s="6">
        <v>24.0</v>
      </c>
      <c r="G540" s="1" t="s">
        <v>14</v>
      </c>
      <c r="H540" s="7">
        <f t="shared" ref="H540:I540" si="541">DATE(MID(D540,7,4), MID(D540,4,2), LEFT(D540,2)) + TIMEVALUE(MID(D540,12,5))
</f>
        <v>46024.33333</v>
      </c>
      <c r="I540" s="7">
        <f t="shared" si="541"/>
        <v>46026.41667</v>
      </c>
      <c r="J540" s="4">
        <f t="shared" si="3"/>
        <v>50</v>
      </c>
      <c r="K540" s="4" t="str">
        <f t="shared" si="4"/>
        <v>Breached</v>
      </c>
    </row>
    <row r="541">
      <c r="A541" s="1" t="s">
        <v>1041</v>
      </c>
      <c r="B541" s="1" t="s">
        <v>18</v>
      </c>
      <c r="C541" s="1" t="s">
        <v>19</v>
      </c>
      <c r="D541" s="6" t="s">
        <v>1042</v>
      </c>
      <c r="E541" s="6" t="s">
        <v>1043</v>
      </c>
      <c r="F541" s="6">
        <v>24.0</v>
      </c>
      <c r="G541" s="1" t="s">
        <v>14</v>
      </c>
      <c r="H541" s="7">
        <f t="shared" ref="H541:I541" si="542">DATE(MID(D541,7,4), MID(D541,4,2), LEFT(D541,2)) + TIMEVALUE(MID(D541,12,5))
</f>
        <v>46047.33333</v>
      </c>
      <c r="I541" s="7">
        <f t="shared" si="542"/>
        <v>46049.125</v>
      </c>
      <c r="J541" s="4">
        <f t="shared" si="3"/>
        <v>43</v>
      </c>
      <c r="K541" s="4" t="str">
        <f t="shared" si="4"/>
        <v>Breached</v>
      </c>
    </row>
    <row r="542">
      <c r="A542" s="1" t="s">
        <v>1044</v>
      </c>
      <c r="B542" s="1" t="s">
        <v>18</v>
      </c>
      <c r="C542" s="1" t="s">
        <v>12</v>
      </c>
      <c r="D542" s="6" t="s">
        <v>1045</v>
      </c>
      <c r="E542" s="6" t="s">
        <v>1046</v>
      </c>
      <c r="F542" s="6">
        <v>72.0</v>
      </c>
      <c r="G542" s="1" t="s">
        <v>14</v>
      </c>
      <c r="H542" s="7">
        <f t="shared" ref="H542:I542" si="543">DATE(MID(D542,7,4), MID(D542,4,2), LEFT(D542,2)) + TIMEVALUE(MID(D542,12,5))
</f>
        <v>46072.16667</v>
      </c>
      <c r="I542" s="7">
        <f t="shared" si="543"/>
        <v>46074.375</v>
      </c>
      <c r="J542" s="4">
        <f t="shared" si="3"/>
        <v>53</v>
      </c>
      <c r="K542" s="4" t="str">
        <f t="shared" si="4"/>
        <v>Within SLA</v>
      </c>
    </row>
    <row r="543">
      <c r="A543" s="1" t="s">
        <v>1047</v>
      </c>
      <c r="B543" s="1" t="s">
        <v>16</v>
      </c>
      <c r="C543" s="1" t="s">
        <v>19</v>
      </c>
      <c r="D543" s="6" t="s">
        <v>1048</v>
      </c>
      <c r="E543" s="6" t="s">
        <v>1049</v>
      </c>
      <c r="F543" s="6">
        <v>24.0</v>
      </c>
      <c r="G543" s="1" t="s">
        <v>14</v>
      </c>
      <c r="H543" s="7">
        <f t="shared" ref="H543:I543" si="544">DATE(MID(D543,7,4), MID(D543,4,2), LEFT(D543,2)) + TIMEVALUE(MID(D543,12,5))
</f>
        <v>46035.125</v>
      </c>
      <c r="I543" s="7">
        <f t="shared" si="544"/>
        <v>46036.29167</v>
      </c>
      <c r="J543" s="4">
        <f t="shared" si="3"/>
        <v>28</v>
      </c>
      <c r="K543" s="4" t="str">
        <f t="shared" si="4"/>
        <v>Breached</v>
      </c>
    </row>
    <row r="544">
      <c r="A544" s="1" t="s">
        <v>1050</v>
      </c>
      <c r="B544" s="1" t="s">
        <v>34</v>
      </c>
      <c r="C544" s="1" t="s">
        <v>12</v>
      </c>
      <c r="D544" s="5">
        <v>46297.75</v>
      </c>
      <c r="E544" s="5">
        <v>46328.458333333336</v>
      </c>
      <c r="F544" s="6">
        <v>72.0</v>
      </c>
      <c r="G544" s="1" t="s">
        <v>14</v>
      </c>
      <c r="H544" s="7">
        <f t="shared" ref="H544:I544" si="545">DATE(MID(D544,7,4), MID(D544,4,2), LEFT(D544,2)) + TIMEVALUE(MID(D544,12,5))
</f>
        <v>46063.75</v>
      </c>
      <c r="I544" s="7">
        <f t="shared" si="545"/>
        <v>46064.45833</v>
      </c>
      <c r="J544" s="4">
        <f t="shared" si="3"/>
        <v>17</v>
      </c>
      <c r="K544" s="4" t="str">
        <f t="shared" si="4"/>
        <v>Within SLA</v>
      </c>
    </row>
    <row r="545">
      <c r="A545" s="1" t="s">
        <v>1051</v>
      </c>
      <c r="B545" s="1" t="s">
        <v>16</v>
      </c>
      <c r="C545" s="1" t="s">
        <v>35</v>
      </c>
      <c r="D545" s="6" t="s">
        <v>395</v>
      </c>
      <c r="E545" s="6" t="s">
        <v>766</v>
      </c>
      <c r="F545" s="6">
        <v>48.0</v>
      </c>
      <c r="G545" s="1" t="s">
        <v>14</v>
      </c>
      <c r="H545" s="7">
        <f t="shared" ref="H545:I545" si="546">DATE(MID(D545,7,4), MID(D545,4,2), LEFT(D545,2)) + TIMEVALUE(MID(D545,12,5))
</f>
        <v>46068.375</v>
      </c>
      <c r="I545" s="7">
        <f t="shared" si="546"/>
        <v>46070.58333</v>
      </c>
      <c r="J545" s="4">
        <f t="shared" si="3"/>
        <v>53</v>
      </c>
      <c r="K545" s="4" t="str">
        <f t="shared" si="4"/>
        <v>Breached</v>
      </c>
    </row>
    <row r="546">
      <c r="A546" s="1" t="s">
        <v>1052</v>
      </c>
      <c r="B546" s="1" t="s">
        <v>34</v>
      </c>
      <c r="C546" s="1" t="s">
        <v>12</v>
      </c>
      <c r="D546" s="5">
        <v>46114.458333333336</v>
      </c>
      <c r="E546" s="5">
        <v>46144.375</v>
      </c>
      <c r="F546" s="6">
        <v>72.0</v>
      </c>
      <c r="G546" s="1" t="s">
        <v>14</v>
      </c>
      <c r="H546" s="7">
        <f t="shared" ref="H546:I546" si="547">DATE(MID(D546,7,4), MID(D546,4,2), LEFT(D546,2)) + TIMEVALUE(MID(D546,12,5))
</f>
        <v>46057.45833</v>
      </c>
      <c r="I546" s="7">
        <f t="shared" si="547"/>
        <v>46058.375</v>
      </c>
      <c r="J546" s="4">
        <f t="shared" si="3"/>
        <v>22</v>
      </c>
      <c r="K546" s="4" t="str">
        <f t="shared" si="4"/>
        <v>Within SLA</v>
      </c>
    </row>
    <row r="547">
      <c r="A547" s="1" t="s">
        <v>1053</v>
      </c>
      <c r="B547" s="1" t="s">
        <v>18</v>
      </c>
      <c r="C547" s="1" t="s">
        <v>12</v>
      </c>
      <c r="D547" s="5">
        <v>46266.375</v>
      </c>
      <c r="E547" s="5">
        <v>46296.25</v>
      </c>
      <c r="F547" s="6">
        <v>72.0</v>
      </c>
      <c r="G547" s="1" t="s">
        <v>14</v>
      </c>
      <c r="H547" s="7">
        <f t="shared" ref="H547:I547" si="548">DATE(MID(D547,7,4), MID(D547,4,2), LEFT(D547,2)) + TIMEVALUE(MID(D547,12,5))
</f>
        <v>46031.375</v>
      </c>
      <c r="I547" s="7">
        <f t="shared" si="548"/>
        <v>46032.25</v>
      </c>
      <c r="J547" s="4">
        <f t="shared" si="3"/>
        <v>21</v>
      </c>
      <c r="K547" s="4" t="str">
        <f t="shared" si="4"/>
        <v>Within SLA</v>
      </c>
    </row>
    <row r="548">
      <c r="A548" s="1" t="s">
        <v>1054</v>
      </c>
      <c r="B548" s="1" t="s">
        <v>16</v>
      </c>
      <c r="C548" s="1" t="s">
        <v>35</v>
      </c>
      <c r="D548" s="6" t="s">
        <v>1055</v>
      </c>
      <c r="E548" s="6" t="s">
        <v>1056</v>
      </c>
      <c r="F548" s="6">
        <v>48.0</v>
      </c>
      <c r="G548" s="1" t="s">
        <v>14</v>
      </c>
      <c r="H548" s="7">
        <f t="shared" ref="H548:I548" si="549">DATE(MID(D548,7,4), MID(D548,4,2), LEFT(D548,2)) + TIMEVALUE(MID(D548,12,5))
</f>
        <v>46075.5</v>
      </c>
      <c r="I548" s="7">
        <f t="shared" si="549"/>
        <v>46077.33333</v>
      </c>
      <c r="J548" s="4">
        <f t="shared" si="3"/>
        <v>44</v>
      </c>
      <c r="K548" s="4" t="str">
        <f t="shared" si="4"/>
        <v>Within SLA</v>
      </c>
    </row>
    <row r="549">
      <c r="A549" s="1" t="s">
        <v>1057</v>
      </c>
      <c r="B549" s="1" t="s">
        <v>16</v>
      </c>
      <c r="C549" s="1" t="s">
        <v>12</v>
      </c>
      <c r="D549" s="5">
        <v>46358.833333333336</v>
      </c>
      <c r="E549" s="6" t="s">
        <v>1058</v>
      </c>
      <c r="F549" s="6">
        <v>72.0</v>
      </c>
      <c r="G549" s="1" t="s">
        <v>14</v>
      </c>
      <c r="H549" s="7">
        <f t="shared" ref="H549:I549" si="550">DATE(MID(D549,7,4), MID(D549,4,2), LEFT(D549,2)) + TIMEVALUE(MID(D549,12,5))
</f>
        <v>46065.83333</v>
      </c>
      <c r="I549" s="7">
        <f t="shared" si="550"/>
        <v>46068.08333</v>
      </c>
      <c r="J549" s="4">
        <f t="shared" si="3"/>
        <v>54</v>
      </c>
      <c r="K549" s="4" t="str">
        <f t="shared" si="4"/>
        <v>Within SLA</v>
      </c>
    </row>
    <row r="550">
      <c r="A550" s="1" t="s">
        <v>1059</v>
      </c>
      <c r="B550" s="1" t="s">
        <v>34</v>
      </c>
      <c r="C550" s="1" t="s">
        <v>12</v>
      </c>
      <c r="D550" s="5">
        <v>46175.541666666664</v>
      </c>
      <c r="E550" s="5">
        <v>46267.125</v>
      </c>
      <c r="F550" s="6">
        <v>72.0</v>
      </c>
      <c r="G550" s="1" t="s">
        <v>14</v>
      </c>
      <c r="H550" s="7">
        <f t="shared" ref="H550:I550" si="551">DATE(MID(D550,7,4), MID(D550,4,2), LEFT(D550,2)) + TIMEVALUE(MID(D550,12,5))
</f>
        <v>46059.54167</v>
      </c>
      <c r="I550" s="7">
        <f t="shared" si="551"/>
        <v>46062.125</v>
      </c>
      <c r="J550" s="4">
        <f t="shared" si="3"/>
        <v>62</v>
      </c>
      <c r="K550" s="4" t="str">
        <f t="shared" si="4"/>
        <v>Within SLA</v>
      </c>
    </row>
    <row r="551">
      <c r="A551" s="1" t="s">
        <v>1060</v>
      </c>
      <c r="B551" s="1" t="s">
        <v>16</v>
      </c>
      <c r="C551" s="1" t="s">
        <v>35</v>
      </c>
      <c r="D551" s="5">
        <v>46025.666666666664</v>
      </c>
      <c r="E551" s="5">
        <v>46115.333333333336</v>
      </c>
      <c r="F551" s="6">
        <v>48.0</v>
      </c>
      <c r="G551" s="1" t="s">
        <v>14</v>
      </c>
      <c r="H551" s="7">
        <f t="shared" ref="H551:I551" si="552">DATE(MID(D551,7,4), MID(D551,4,2), LEFT(D551,2)) + TIMEVALUE(MID(D551,12,5))
</f>
        <v>46082.66667</v>
      </c>
      <c r="I551" s="7">
        <f t="shared" si="552"/>
        <v>46085.33333</v>
      </c>
      <c r="J551" s="4">
        <f t="shared" si="3"/>
        <v>64</v>
      </c>
      <c r="K551" s="4" t="str">
        <f t="shared" si="4"/>
        <v>Breached</v>
      </c>
    </row>
    <row r="552">
      <c r="A552" s="1" t="s">
        <v>1061</v>
      </c>
      <c r="B552" s="1" t="s">
        <v>11</v>
      </c>
      <c r="C552" s="1" t="s">
        <v>35</v>
      </c>
      <c r="D552" s="6" t="s">
        <v>1062</v>
      </c>
      <c r="E552" s="6" t="s">
        <v>882</v>
      </c>
      <c r="F552" s="6">
        <v>48.0</v>
      </c>
      <c r="G552" s="1" t="s">
        <v>14</v>
      </c>
      <c r="H552" s="7">
        <f t="shared" ref="H552:I552" si="553">DATE(MID(D552,7,4), MID(D552,4,2), LEFT(D552,2)) + TIMEVALUE(MID(D552,12,5))
</f>
        <v>46066.25</v>
      </c>
      <c r="I552" s="7">
        <f t="shared" si="553"/>
        <v>46069.95833</v>
      </c>
      <c r="J552" s="4">
        <f t="shared" si="3"/>
        <v>89</v>
      </c>
      <c r="K552" s="4" t="str">
        <f t="shared" si="4"/>
        <v>Breached</v>
      </c>
    </row>
    <row r="553">
      <c r="A553" s="1" t="s">
        <v>1063</v>
      </c>
      <c r="B553" s="1" t="s">
        <v>23</v>
      </c>
      <c r="C553" s="1" t="s">
        <v>12</v>
      </c>
      <c r="D553" s="6" t="s">
        <v>1064</v>
      </c>
      <c r="E553" s="6" t="s">
        <v>1065</v>
      </c>
      <c r="F553" s="6">
        <v>72.0</v>
      </c>
      <c r="G553" s="1" t="s">
        <v>14</v>
      </c>
      <c r="H553" s="7">
        <f t="shared" ref="H553:I553" si="554">DATE(MID(D553,7,4), MID(D553,4,2), LEFT(D553,2)) + TIMEVALUE(MID(D553,12,5))
</f>
        <v>46095.41667</v>
      </c>
      <c r="I553" s="7">
        <f t="shared" si="554"/>
        <v>46098.70833</v>
      </c>
      <c r="J553" s="4">
        <f t="shared" si="3"/>
        <v>79</v>
      </c>
      <c r="K553" s="4" t="str">
        <f t="shared" si="4"/>
        <v>Breached</v>
      </c>
    </row>
    <row r="554">
      <c r="A554" s="1" t="s">
        <v>1066</v>
      </c>
      <c r="B554" s="1" t="s">
        <v>23</v>
      </c>
      <c r="C554" s="1" t="s">
        <v>19</v>
      </c>
      <c r="D554" s="5">
        <v>46235.708333333336</v>
      </c>
      <c r="E554" s="5">
        <v>46296.666666666664</v>
      </c>
      <c r="F554" s="6">
        <v>24.0</v>
      </c>
      <c r="G554" s="1" t="s">
        <v>14</v>
      </c>
      <c r="H554" s="7">
        <f t="shared" ref="H554:I554" si="555">DATE(MID(D554,7,4), MID(D554,4,2), LEFT(D554,2)) + TIMEVALUE(MID(D554,12,5))
</f>
        <v>46030.70833</v>
      </c>
      <c r="I554" s="7">
        <f t="shared" si="555"/>
        <v>46032.66667</v>
      </c>
      <c r="J554" s="4">
        <f t="shared" si="3"/>
        <v>47</v>
      </c>
      <c r="K554" s="4" t="str">
        <f t="shared" si="4"/>
        <v>Breached</v>
      </c>
    </row>
    <row r="555">
      <c r="A555" s="1" t="s">
        <v>1067</v>
      </c>
      <c r="B555" s="1" t="s">
        <v>34</v>
      </c>
      <c r="C555" s="1" t="s">
        <v>19</v>
      </c>
      <c r="D555" s="6" t="s">
        <v>1068</v>
      </c>
      <c r="E555" s="6" t="s">
        <v>1069</v>
      </c>
      <c r="F555" s="6">
        <v>24.0</v>
      </c>
      <c r="G555" s="1" t="s">
        <v>14</v>
      </c>
      <c r="H555" s="7">
        <f t="shared" ref="H555:I555" si="556">DATE(MID(D555,7,4), MID(D555,4,2), LEFT(D555,2)) + TIMEVALUE(MID(D555,12,5))
</f>
        <v>46095.875</v>
      </c>
      <c r="I555" s="7">
        <f t="shared" si="556"/>
        <v>46098.79167</v>
      </c>
      <c r="J555" s="4">
        <f t="shared" si="3"/>
        <v>70</v>
      </c>
      <c r="K555" s="4" t="str">
        <f t="shared" si="4"/>
        <v>Breached</v>
      </c>
    </row>
    <row r="556">
      <c r="A556" s="1" t="s">
        <v>1070</v>
      </c>
      <c r="B556" s="1" t="s">
        <v>16</v>
      </c>
      <c r="C556" s="1" t="s">
        <v>35</v>
      </c>
      <c r="D556" s="5">
        <v>46084.75</v>
      </c>
      <c r="E556" s="5">
        <v>46115.875</v>
      </c>
      <c r="F556" s="6">
        <v>48.0</v>
      </c>
      <c r="G556" s="1" t="s">
        <v>14</v>
      </c>
      <c r="H556" s="7">
        <f t="shared" ref="H556:I556" si="557">DATE(MID(D556,7,4), MID(D556,4,2), LEFT(D556,2)) + TIMEVALUE(MID(D556,12,5))
</f>
        <v>46084.75</v>
      </c>
      <c r="I556" s="7">
        <f t="shared" si="557"/>
        <v>46085.875</v>
      </c>
      <c r="J556" s="4">
        <f t="shared" si="3"/>
        <v>27</v>
      </c>
      <c r="K556" s="4" t="str">
        <f t="shared" si="4"/>
        <v>Within SLA</v>
      </c>
    </row>
    <row r="557">
      <c r="A557" s="1" t="s">
        <v>1071</v>
      </c>
      <c r="B557" s="1" t="s">
        <v>16</v>
      </c>
      <c r="C557" s="1" t="s">
        <v>12</v>
      </c>
      <c r="D557" s="6" t="s">
        <v>287</v>
      </c>
      <c r="E557" s="5">
        <v>46055.416666666664</v>
      </c>
      <c r="F557" s="6">
        <v>72.0</v>
      </c>
      <c r="G557" s="1" t="s">
        <v>14</v>
      </c>
      <c r="H557" s="7">
        <f t="shared" ref="H557:I557" si="558">DATE(MID(D557,7,4), MID(D557,4,2), LEFT(D557,2)) + TIMEVALUE(MID(D557,12,5))
</f>
        <v>46052.04167</v>
      </c>
      <c r="I557" s="7">
        <f t="shared" si="558"/>
        <v>46055.41667</v>
      </c>
      <c r="J557" s="4">
        <f t="shared" si="3"/>
        <v>81</v>
      </c>
      <c r="K557" s="4" t="str">
        <f t="shared" si="4"/>
        <v>Breached</v>
      </c>
    </row>
    <row r="558">
      <c r="A558" s="1" t="s">
        <v>1072</v>
      </c>
      <c r="B558" s="1" t="s">
        <v>18</v>
      </c>
      <c r="C558" s="1" t="s">
        <v>12</v>
      </c>
      <c r="D558" s="5">
        <v>46056.25</v>
      </c>
      <c r="E558" s="5">
        <v>46145.791666666664</v>
      </c>
      <c r="F558" s="6">
        <v>72.0</v>
      </c>
      <c r="G558" s="1" t="s">
        <v>14</v>
      </c>
      <c r="H558" s="7">
        <f t="shared" ref="H558:I558" si="559">DATE(MID(D558,7,4), MID(D558,4,2), LEFT(D558,2)) + TIMEVALUE(MID(D558,12,5))
</f>
        <v>46083.25</v>
      </c>
      <c r="I558" s="7">
        <f t="shared" si="559"/>
        <v>46086.79167</v>
      </c>
      <c r="J558" s="4">
        <f t="shared" si="3"/>
        <v>85</v>
      </c>
      <c r="K558" s="4" t="str">
        <f t="shared" si="4"/>
        <v>Breached</v>
      </c>
    </row>
    <row r="559">
      <c r="A559" s="1" t="s">
        <v>1073</v>
      </c>
      <c r="B559" s="1" t="s">
        <v>18</v>
      </c>
      <c r="C559" s="1" t="s">
        <v>12</v>
      </c>
      <c r="D559" s="5">
        <v>46206.916666666664</v>
      </c>
      <c r="E559" s="5">
        <v>46298.333333333336</v>
      </c>
      <c r="F559" s="6">
        <v>72.0</v>
      </c>
      <c r="G559" s="1" t="s">
        <v>14</v>
      </c>
      <c r="H559" s="7">
        <f t="shared" ref="H559:I559" si="560">DATE(MID(D559,7,4), MID(D559,4,2), LEFT(D559,2)) + TIMEVALUE(MID(D559,12,5))
</f>
        <v>46088.91667</v>
      </c>
      <c r="I559" s="7">
        <f t="shared" si="560"/>
        <v>46091.33333</v>
      </c>
      <c r="J559" s="4">
        <f t="shared" si="3"/>
        <v>58</v>
      </c>
      <c r="K559" s="4" t="str">
        <f t="shared" si="4"/>
        <v>Within SLA</v>
      </c>
    </row>
    <row r="560">
      <c r="A560" s="1" t="s">
        <v>1074</v>
      </c>
      <c r="B560" s="1" t="s">
        <v>34</v>
      </c>
      <c r="C560" s="1" t="s">
        <v>35</v>
      </c>
      <c r="D560" s="6" t="s">
        <v>1075</v>
      </c>
      <c r="E560" s="6" t="s">
        <v>752</v>
      </c>
      <c r="F560" s="6">
        <v>48.0</v>
      </c>
      <c r="G560" s="1" t="s">
        <v>14</v>
      </c>
      <c r="H560" s="7">
        <f t="shared" ref="H560:I560" si="561">DATE(MID(D560,7,4), MID(D560,4,2), LEFT(D560,2)) + TIMEVALUE(MID(D560,12,5))
</f>
        <v>46042.33333</v>
      </c>
      <c r="I560" s="7">
        <f t="shared" si="561"/>
        <v>46045.70833</v>
      </c>
      <c r="J560" s="4">
        <f t="shared" si="3"/>
        <v>81</v>
      </c>
      <c r="K560" s="4" t="str">
        <f t="shared" si="4"/>
        <v>Breached</v>
      </c>
    </row>
    <row r="561">
      <c r="A561" s="1" t="s">
        <v>1076</v>
      </c>
      <c r="B561" s="1" t="s">
        <v>18</v>
      </c>
      <c r="C561" s="1" t="s">
        <v>19</v>
      </c>
      <c r="D561" s="5">
        <v>46236.791666666664</v>
      </c>
      <c r="E561" s="5">
        <v>46358.541666666664</v>
      </c>
      <c r="F561" s="6">
        <v>24.0</v>
      </c>
      <c r="G561" s="1" t="s">
        <v>14</v>
      </c>
      <c r="H561" s="7">
        <f t="shared" ref="H561:I561" si="562">DATE(MID(D561,7,4), MID(D561,4,2), LEFT(D561,2)) + TIMEVALUE(MID(D561,12,5))
</f>
        <v>46061.79167</v>
      </c>
      <c r="I561" s="7">
        <f t="shared" si="562"/>
        <v>46065.54167</v>
      </c>
      <c r="J561" s="4">
        <f t="shared" si="3"/>
        <v>90</v>
      </c>
      <c r="K561" s="4" t="str">
        <f t="shared" si="4"/>
        <v>Breached</v>
      </c>
    </row>
    <row r="562">
      <c r="A562" s="1" t="s">
        <v>1077</v>
      </c>
      <c r="B562" s="1" t="s">
        <v>11</v>
      </c>
      <c r="C562" s="1" t="s">
        <v>19</v>
      </c>
      <c r="D562" s="5">
        <v>46327.958333333336</v>
      </c>
      <c r="E562" s="6" t="s">
        <v>761</v>
      </c>
      <c r="F562" s="6">
        <v>24.0</v>
      </c>
      <c r="G562" s="1" t="s">
        <v>14</v>
      </c>
      <c r="H562" s="7">
        <f t="shared" ref="H562:I562" si="563">DATE(MID(D562,7,4), MID(D562,4,2), LEFT(D562,2)) + TIMEVALUE(MID(D562,12,5))
</f>
        <v>46033.95833</v>
      </c>
      <c r="I562" s="7">
        <f t="shared" si="563"/>
        <v>46037.20833</v>
      </c>
      <c r="J562" s="4">
        <f t="shared" si="3"/>
        <v>78</v>
      </c>
      <c r="K562" s="4" t="str">
        <f t="shared" si="4"/>
        <v>Breached</v>
      </c>
    </row>
    <row r="563">
      <c r="A563" s="1" t="s">
        <v>1078</v>
      </c>
      <c r="B563" s="1" t="s">
        <v>34</v>
      </c>
      <c r="C563" s="1" t="s">
        <v>19</v>
      </c>
      <c r="D563" s="6" t="s">
        <v>990</v>
      </c>
      <c r="E563" s="6" t="s">
        <v>1079</v>
      </c>
      <c r="F563" s="6">
        <v>24.0</v>
      </c>
      <c r="G563" s="1" t="s">
        <v>14</v>
      </c>
      <c r="H563" s="7">
        <f t="shared" ref="H563:I563" si="564">DATE(MID(D563,7,4), MID(D563,4,2), LEFT(D563,2)) + TIMEVALUE(MID(D563,12,5))
</f>
        <v>46105.83333</v>
      </c>
      <c r="I563" s="7">
        <f t="shared" si="564"/>
        <v>46107</v>
      </c>
      <c r="J563" s="4">
        <f t="shared" si="3"/>
        <v>28</v>
      </c>
      <c r="K563" s="4" t="str">
        <f t="shared" si="4"/>
        <v>Breached</v>
      </c>
    </row>
    <row r="564">
      <c r="A564" s="1" t="s">
        <v>1080</v>
      </c>
      <c r="B564" s="1" t="s">
        <v>23</v>
      </c>
      <c r="C564" s="1" t="s">
        <v>19</v>
      </c>
      <c r="D564" s="5">
        <v>46175.291666666664</v>
      </c>
      <c r="E564" s="5">
        <v>46205.75</v>
      </c>
      <c r="F564" s="6">
        <v>24.0</v>
      </c>
      <c r="G564" s="1" t="s">
        <v>14</v>
      </c>
      <c r="H564" s="7">
        <f t="shared" ref="H564:I564" si="565">DATE(MID(D564,7,4), MID(D564,4,2), LEFT(D564,2)) + TIMEVALUE(MID(D564,12,5))
</f>
        <v>46059.29167</v>
      </c>
      <c r="I564" s="7">
        <f t="shared" si="565"/>
        <v>46060.75</v>
      </c>
      <c r="J564" s="4">
        <f t="shared" si="3"/>
        <v>35</v>
      </c>
      <c r="K564" s="4" t="str">
        <f t="shared" si="4"/>
        <v>Breached</v>
      </c>
    </row>
    <row r="565">
      <c r="A565" s="1" t="s">
        <v>1081</v>
      </c>
      <c r="B565" s="1" t="s">
        <v>34</v>
      </c>
      <c r="C565" s="1" t="s">
        <v>19</v>
      </c>
      <c r="D565" s="6" t="s">
        <v>255</v>
      </c>
      <c r="E565" s="6" t="s">
        <v>1082</v>
      </c>
      <c r="F565" s="6">
        <v>24.0</v>
      </c>
      <c r="G565" s="1" t="s">
        <v>14</v>
      </c>
      <c r="H565" s="7">
        <f t="shared" ref="H565:I565" si="566">DATE(MID(D565,7,4), MID(D565,4,2), LEFT(D565,2)) + TIMEVALUE(MID(D565,12,5))
</f>
        <v>46104.5</v>
      </c>
      <c r="I565" s="7">
        <f t="shared" si="566"/>
        <v>46105.20833</v>
      </c>
      <c r="J565" s="4">
        <f t="shared" si="3"/>
        <v>17</v>
      </c>
      <c r="K565" s="4" t="str">
        <f t="shared" si="4"/>
        <v>Within SLA</v>
      </c>
    </row>
    <row r="566">
      <c r="A566" s="1" t="s">
        <v>1083</v>
      </c>
      <c r="B566" s="1" t="s">
        <v>23</v>
      </c>
      <c r="C566" s="1" t="s">
        <v>19</v>
      </c>
      <c r="D566" s="6" t="s">
        <v>1084</v>
      </c>
      <c r="E566" s="6" t="s">
        <v>1085</v>
      </c>
      <c r="F566" s="6">
        <v>24.0</v>
      </c>
      <c r="G566" s="1" t="s">
        <v>14</v>
      </c>
      <c r="H566" s="7">
        <f t="shared" ref="H566:I566" si="567">DATE(MID(D566,7,4), MID(D566,4,2), LEFT(D566,2)) + TIMEVALUE(MID(D566,12,5))
</f>
        <v>46041.83333</v>
      </c>
      <c r="I566" s="7">
        <f t="shared" si="567"/>
        <v>46043.41667</v>
      </c>
      <c r="J566" s="4">
        <f t="shared" si="3"/>
        <v>38</v>
      </c>
      <c r="K566" s="4" t="str">
        <f t="shared" si="4"/>
        <v>Breached</v>
      </c>
    </row>
    <row r="567">
      <c r="A567" s="1" t="s">
        <v>1086</v>
      </c>
      <c r="B567" s="1" t="s">
        <v>23</v>
      </c>
      <c r="C567" s="1" t="s">
        <v>19</v>
      </c>
      <c r="D567" s="5">
        <v>46296.375</v>
      </c>
      <c r="E567" s="5">
        <v>46357.458333333336</v>
      </c>
      <c r="F567" s="6">
        <v>24.0</v>
      </c>
      <c r="G567" s="1" t="s">
        <v>14</v>
      </c>
      <c r="H567" s="7">
        <f t="shared" ref="H567:I567" si="568">DATE(MID(D567,7,4), MID(D567,4,2), LEFT(D567,2)) + TIMEVALUE(MID(D567,12,5))
</f>
        <v>46032.375</v>
      </c>
      <c r="I567" s="7">
        <f t="shared" si="568"/>
        <v>46034.45833</v>
      </c>
      <c r="J567" s="4">
        <f t="shared" si="3"/>
        <v>50</v>
      </c>
      <c r="K567" s="4" t="str">
        <f t="shared" si="4"/>
        <v>Breached</v>
      </c>
    </row>
    <row r="568">
      <c r="A568" s="1" t="s">
        <v>1087</v>
      </c>
      <c r="B568" s="1" t="s">
        <v>18</v>
      </c>
      <c r="C568" s="1" t="s">
        <v>12</v>
      </c>
      <c r="D568" s="6" t="s">
        <v>1088</v>
      </c>
      <c r="E568" s="6" t="s">
        <v>1089</v>
      </c>
      <c r="F568" s="6">
        <v>72.0</v>
      </c>
      <c r="G568" s="1" t="s">
        <v>14</v>
      </c>
      <c r="H568" s="7">
        <f t="shared" ref="H568:I568" si="569">DATE(MID(D568,7,4), MID(D568,4,2), LEFT(D568,2)) + TIMEVALUE(MID(D568,12,5))
</f>
        <v>46049.625</v>
      </c>
      <c r="I568" s="7">
        <f t="shared" si="569"/>
        <v>46053.04167</v>
      </c>
      <c r="J568" s="4">
        <f t="shared" si="3"/>
        <v>82</v>
      </c>
      <c r="K568" s="4" t="str">
        <f t="shared" si="4"/>
        <v>Breached</v>
      </c>
    </row>
    <row r="569">
      <c r="A569" s="1" t="s">
        <v>1090</v>
      </c>
      <c r="B569" s="1" t="s">
        <v>11</v>
      </c>
      <c r="C569" s="1" t="s">
        <v>35</v>
      </c>
      <c r="D569" s="6" t="s">
        <v>156</v>
      </c>
      <c r="E569" s="6" t="s">
        <v>1091</v>
      </c>
      <c r="F569" s="6">
        <v>48.0</v>
      </c>
      <c r="G569" s="1" t="s">
        <v>14</v>
      </c>
      <c r="H569" s="7">
        <f t="shared" ref="H569:I569" si="570">DATE(MID(D569,7,4), MID(D569,4,2), LEFT(D569,2)) + TIMEVALUE(MID(D569,12,5))
</f>
        <v>46071.33333</v>
      </c>
      <c r="I569" s="7">
        <f t="shared" si="570"/>
        <v>46075.04167</v>
      </c>
      <c r="J569" s="4">
        <f t="shared" si="3"/>
        <v>89</v>
      </c>
      <c r="K569" s="4" t="str">
        <f t="shared" si="4"/>
        <v>Breached</v>
      </c>
    </row>
    <row r="570">
      <c r="A570" s="1" t="s">
        <v>1092</v>
      </c>
      <c r="B570" s="1" t="s">
        <v>16</v>
      </c>
      <c r="C570" s="1" t="s">
        <v>12</v>
      </c>
      <c r="D570" s="6" t="s">
        <v>660</v>
      </c>
      <c r="E570" s="6" t="s">
        <v>1093</v>
      </c>
      <c r="F570" s="6">
        <v>72.0</v>
      </c>
      <c r="G570" s="1" t="s">
        <v>14</v>
      </c>
      <c r="H570" s="7">
        <f t="shared" ref="H570:I570" si="571">DATE(MID(D570,7,4), MID(D570,4,2), LEFT(D570,2)) + TIMEVALUE(MID(D570,12,5))
</f>
        <v>46045.08333</v>
      </c>
      <c r="I570" s="7">
        <f t="shared" si="571"/>
        <v>46047.375</v>
      </c>
      <c r="J570" s="4">
        <f t="shared" si="3"/>
        <v>55</v>
      </c>
      <c r="K570" s="4" t="str">
        <f t="shared" si="4"/>
        <v>Within SLA</v>
      </c>
    </row>
    <row r="571">
      <c r="A571" s="1" t="s">
        <v>1094</v>
      </c>
      <c r="B571" s="1" t="s">
        <v>11</v>
      </c>
      <c r="C571" s="1" t="s">
        <v>19</v>
      </c>
      <c r="D571" s="5">
        <v>46296.916666666664</v>
      </c>
      <c r="E571" s="6" t="s">
        <v>1095</v>
      </c>
      <c r="F571" s="6">
        <v>24.0</v>
      </c>
      <c r="G571" s="1" t="s">
        <v>14</v>
      </c>
      <c r="H571" s="7">
        <f t="shared" ref="H571:I571" si="572">DATE(MID(D571,7,4), MID(D571,4,2), LEFT(D571,2)) + TIMEVALUE(MID(D571,12,5))
</f>
        <v>46032.91667</v>
      </c>
      <c r="I571" s="7">
        <f t="shared" si="572"/>
        <v>46035.5</v>
      </c>
      <c r="J571" s="4">
        <f t="shared" si="3"/>
        <v>62</v>
      </c>
      <c r="K571" s="4" t="str">
        <f t="shared" si="4"/>
        <v>Breached</v>
      </c>
    </row>
    <row r="572">
      <c r="A572" s="1" t="s">
        <v>1096</v>
      </c>
      <c r="B572" s="1" t="s">
        <v>23</v>
      </c>
      <c r="C572" s="1" t="s">
        <v>19</v>
      </c>
      <c r="D572" s="6" t="s">
        <v>1097</v>
      </c>
      <c r="E572" s="6" t="s">
        <v>1098</v>
      </c>
      <c r="F572" s="6">
        <v>24.0</v>
      </c>
      <c r="G572" s="1" t="s">
        <v>14</v>
      </c>
      <c r="H572" s="7">
        <f t="shared" ref="H572:I572" si="573">DATE(MID(D572,7,4), MID(D572,4,2), LEFT(D572,2)) + TIMEVALUE(MID(D572,12,5))
</f>
        <v>46070.33333</v>
      </c>
      <c r="I572" s="7">
        <f t="shared" si="573"/>
        <v>46071.08333</v>
      </c>
      <c r="J572" s="4">
        <f t="shared" si="3"/>
        <v>18</v>
      </c>
      <c r="K572" s="4" t="str">
        <f t="shared" si="4"/>
        <v>Within SLA</v>
      </c>
    </row>
    <row r="573">
      <c r="A573" s="1" t="s">
        <v>1099</v>
      </c>
      <c r="B573" s="1" t="s">
        <v>11</v>
      </c>
      <c r="C573" s="1" t="s">
        <v>35</v>
      </c>
      <c r="D573" s="6" t="s">
        <v>445</v>
      </c>
      <c r="E573" s="6" t="s">
        <v>1100</v>
      </c>
      <c r="F573" s="6">
        <v>48.0</v>
      </c>
      <c r="G573" s="1" t="s">
        <v>14</v>
      </c>
      <c r="H573" s="7">
        <f t="shared" ref="H573:I573" si="574">DATE(MID(D573,7,4), MID(D573,4,2), LEFT(D573,2)) + TIMEVALUE(MID(D573,12,5))
</f>
        <v>46044.29167</v>
      </c>
      <c r="I573" s="7">
        <f t="shared" si="574"/>
        <v>46046.95833</v>
      </c>
      <c r="J573" s="4">
        <f t="shared" si="3"/>
        <v>64</v>
      </c>
      <c r="K573" s="4" t="str">
        <f t="shared" si="4"/>
        <v>Breached</v>
      </c>
    </row>
    <row r="574">
      <c r="A574" s="1" t="s">
        <v>1101</v>
      </c>
      <c r="B574" s="1" t="s">
        <v>34</v>
      </c>
      <c r="C574" s="1" t="s">
        <v>12</v>
      </c>
      <c r="D574" s="6" t="s">
        <v>367</v>
      </c>
      <c r="E574" s="6" t="s">
        <v>910</v>
      </c>
      <c r="F574" s="6">
        <v>72.0</v>
      </c>
      <c r="G574" s="1" t="s">
        <v>14</v>
      </c>
      <c r="H574" s="7">
        <f t="shared" ref="H574:I574" si="575">DATE(MID(D574,7,4), MID(D574,4,2), LEFT(D574,2)) + TIMEVALUE(MID(D574,12,5))
</f>
        <v>46066.33333</v>
      </c>
      <c r="I574" s="7">
        <f t="shared" si="575"/>
        <v>46068.33333</v>
      </c>
      <c r="J574" s="4">
        <f t="shared" si="3"/>
        <v>48</v>
      </c>
      <c r="K574" s="4" t="str">
        <f t="shared" si="4"/>
        <v>Within SLA</v>
      </c>
    </row>
    <row r="575">
      <c r="A575" s="1" t="s">
        <v>1102</v>
      </c>
      <c r="B575" s="1" t="s">
        <v>11</v>
      </c>
      <c r="C575" s="1" t="s">
        <v>19</v>
      </c>
      <c r="D575" s="5">
        <v>46328.291666666664</v>
      </c>
      <c r="E575" s="5">
        <v>46358.875</v>
      </c>
      <c r="F575" s="6">
        <v>24.0</v>
      </c>
      <c r="G575" s="1" t="s">
        <v>14</v>
      </c>
      <c r="H575" s="7">
        <f t="shared" ref="H575:I575" si="576">DATE(MID(D575,7,4), MID(D575,4,2), LEFT(D575,2)) + TIMEVALUE(MID(D575,12,5))
</f>
        <v>46064.29167</v>
      </c>
      <c r="I575" s="7">
        <f t="shared" si="576"/>
        <v>46065.875</v>
      </c>
      <c r="J575" s="4">
        <f t="shared" si="3"/>
        <v>38</v>
      </c>
      <c r="K575" s="4" t="str">
        <f t="shared" si="4"/>
        <v>Breached</v>
      </c>
    </row>
    <row r="576">
      <c r="A576" s="1" t="s">
        <v>1103</v>
      </c>
      <c r="B576" s="1" t="s">
        <v>16</v>
      </c>
      <c r="C576" s="1" t="s">
        <v>12</v>
      </c>
      <c r="D576" s="6" t="s">
        <v>730</v>
      </c>
      <c r="E576" s="6" t="s">
        <v>1104</v>
      </c>
      <c r="F576" s="6">
        <v>72.0</v>
      </c>
      <c r="G576" s="1" t="s">
        <v>14</v>
      </c>
      <c r="H576" s="7">
        <f t="shared" ref="H576:I576" si="577">DATE(MID(D576,7,4), MID(D576,4,2), LEFT(D576,2)) + TIMEVALUE(MID(D576,12,5))
</f>
        <v>46049</v>
      </c>
      <c r="I576" s="7">
        <f t="shared" si="577"/>
        <v>46050.25</v>
      </c>
      <c r="J576" s="4">
        <f t="shared" si="3"/>
        <v>30</v>
      </c>
      <c r="K576" s="4" t="str">
        <f t="shared" si="4"/>
        <v>Within SLA</v>
      </c>
    </row>
    <row r="577">
      <c r="A577" s="1" t="s">
        <v>1105</v>
      </c>
      <c r="B577" s="1" t="s">
        <v>23</v>
      </c>
      <c r="C577" s="1" t="s">
        <v>35</v>
      </c>
      <c r="D577" s="6" t="s">
        <v>1106</v>
      </c>
      <c r="E577" s="6" t="s">
        <v>957</v>
      </c>
      <c r="F577" s="6">
        <v>48.0</v>
      </c>
      <c r="G577" s="1" t="s">
        <v>14</v>
      </c>
      <c r="H577" s="7">
        <f t="shared" ref="H577:I577" si="578">DATE(MID(D577,7,4), MID(D577,4,2), LEFT(D577,2)) + TIMEVALUE(MID(D577,12,5))
</f>
        <v>46074.625</v>
      </c>
      <c r="I577" s="7">
        <f t="shared" si="578"/>
        <v>46076.20833</v>
      </c>
      <c r="J577" s="4">
        <f t="shared" si="3"/>
        <v>38</v>
      </c>
      <c r="K577" s="4" t="str">
        <f t="shared" si="4"/>
        <v>Within SLA</v>
      </c>
    </row>
    <row r="578">
      <c r="A578" s="1" t="s">
        <v>1107</v>
      </c>
      <c r="B578" s="1" t="s">
        <v>11</v>
      </c>
      <c r="C578" s="1" t="s">
        <v>19</v>
      </c>
      <c r="D578" s="6" t="s">
        <v>1108</v>
      </c>
      <c r="E578" s="6" t="s">
        <v>1109</v>
      </c>
      <c r="F578" s="6">
        <v>24.0</v>
      </c>
      <c r="G578" s="1" t="s">
        <v>14</v>
      </c>
      <c r="H578" s="7">
        <f t="shared" ref="H578:I578" si="579">DATE(MID(D578,7,4), MID(D578,4,2), LEFT(D578,2)) + TIMEVALUE(MID(D578,12,5))
</f>
        <v>46103.54167</v>
      </c>
      <c r="I578" s="7">
        <f t="shared" si="579"/>
        <v>46106.95833</v>
      </c>
      <c r="J578" s="4">
        <f t="shared" si="3"/>
        <v>82</v>
      </c>
      <c r="K578" s="4" t="str">
        <f t="shared" si="4"/>
        <v>Breached</v>
      </c>
    </row>
    <row r="579">
      <c r="A579" s="1" t="s">
        <v>1110</v>
      </c>
      <c r="B579" s="1" t="s">
        <v>16</v>
      </c>
      <c r="C579" s="1" t="s">
        <v>19</v>
      </c>
      <c r="D579" s="5">
        <v>46144.375</v>
      </c>
      <c r="E579" s="5">
        <v>46267.375</v>
      </c>
      <c r="F579" s="6">
        <v>24.0</v>
      </c>
      <c r="G579" s="1" t="s">
        <v>14</v>
      </c>
      <c r="H579" s="7">
        <f t="shared" ref="H579:I579" si="580">DATE(MID(D579,7,4), MID(D579,4,2), LEFT(D579,2)) + TIMEVALUE(MID(D579,12,5))
</f>
        <v>46058.375</v>
      </c>
      <c r="I579" s="7">
        <f t="shared" si="580"/>
        <v>46062.375</v>
      </c>
      <c r="J579" s="4">
        <f t="shared" si="3"/>
        <v>96</v>
      </c>
      <c r="K579" s="4" t="str">
        <f t="shared" si="4"/>
        <v>Breached</v>
      </c>
    </row>
    <row r="580">
      <c r="A580" s="1" t="s">
        <v>1111</v>
      </c>
      <c r="B580" s="1" t="s">
        <v>23</v>
      </c>
      <c r="C580" s="1" t="s">
        <v>12</v>
      </c>
      <c r="D580" s="6" t="s">
        <v>1112</v>
      </c>
      <c r="E580" s="6" t="s">
        <v>54</v>
      </c>
      <c r="F580" s="6">
        <v>72.0</v>
      </c>
      <c r="G580" s="1" t="s">
        <v>14</v>
      </c>
      <c r="H580" s="7">
        <f t="shared" ref="H580:I580" si="581">DATE(MID(D580,7,4), MID(D580,4,2), LEFT(D580,2)) + TIMEVALUE(MID(D580,12,5))
</f>
        <v>46095.70833</v>
      </c>
      <c r="I580" s="7">
        <f t="shared" si="581"/>
        <v>46097.79167</v>
      </c>
      <c r="J580" s="4">
        <f t="shared" si="3"/>
        <v>50</v>
      </c>
      <c r="K580" s="4" t="str">
        <f t="shared" si="4"/>
        <v>Within SLA</v>
      </c>
    </row>
    <row r="581">
      <c r="A581" s="1" t="s">
        <v>1113</v>
      </c>
      <c r="B581" s="1" t="s">
        <v>34</v>
      </c>
      <c r="C581" s="1" t="s">
        <v>12</v>
      </c>
      <c r="D581" s="6" t="s">
        <v>918</v>
      </c>
      <c r="E581" s="6" t="s">
        <v>772</v>
      </c>
      <c r="F581" s="6">
        <v>72.0</v>
      </c>
      <c r="G581" s="1" t="s">
        <v>14</v>
      </c>
      <c r="H581" s="7">
        <f t="shared" ref="H581:I581" si="582">DATE(MID(D581,7,4), MID(D581,4,2), LEFT(D581,2)) + TIMEVALUE(MID(D581,12,5))
</f>
        <v>46037.75</v>
      </c>
      <c r="I581" s="7">
        <f t="shared" si="582"/>
        <v>46041.33333</v>
      </c>
      <c r="J581" s="4">
        <f t="shared" si="3"/>
        <v>86</v>
      </c>
      <c r="K581" s="4" t="str">
        <f t="shared" si="4"/>
        <v>Breached</v>
      </c>
    </row>
    <row r="582">
      <c r="A582" s="1" t="s">
        <v>1114</v>
      </c>
      <c r="B582" s="1" t="s">
        <v>18</v>
      </c>
      <c r="C582" s="1" t="s">
        <v>12</v>
      </c>
      <c r="D582" s="6" t="s">
        <v>136</v>
      </c>
      <c r="E582" s="6" t="s">
        <v>1115</v>
      </c>
      <c r="F582" s="6">
        <v>72.0</v>
      </c>
      <c r="G582" s="1" t="s">
        <v>14</v>
      </c>
      <c r="H582" s="7">
        <f t="shared" ref="H582:I582" si="583">DATE(MID(D582,7,4), MID(D582,4,2), LEFT(D582,2)) + TIMEVALUE(MID(D582,12,5))
</f>
        <v>46095.54167</v>
      </c>
      <c r="I582" s="7">
        <f t="shared" si="583"/>
        <v>46099.5</v>
      </c>
      <c r="J582" s="4">
        <f t="shared" si="3"/>
        <v>95</v>
      </c>
      <c r="K582" s="4" t="str">
        <f t="shared" si="4"/>
        <v>Breached</v>
      </c>
    </row>
    <row r="583">
      <c r="A583" s="1" t="s">
        <v>1116</v>
      </c>
      <c r="B583" s="1" t="s">
        <v>11</v>
      </c>
      <c r="C583" s="1" t="s">
        <v>12</v>
      </c>
      <c r="D583" s="6" t="s">
        <v>1117</v>
      </c>
      <c r="E583" s="6" t="s">
        <v>1118</v>
      </c>
      <c r="F583" s="6">
        <v>72.0</v>
      </c>
      <c r="G583" s="1" t="s">
        <v>14</v>
      </c>
      <c r="H583" s="7">
        <f t="shared" ref="H583:I583" si="584">DATE(MID(D583,7,4), MID(D583,4,2), LEFT(D583,2)) + TIMEVALUE(MID(D583,12,5))
</f>
        <v>46036.625</v>
      </c>
      <c r="I583" s="7">
        <f t="shared" si="584"/>
        <v>46038.66667</v>
      </c>
      <c r="J583" s="4">
        <f t="shared" si="3"/>
        <v>49</v>
      </c>
      <c r="K583" s="4" t="str">
        <f t="shared" si="4"/>
        <v>Within SLA</v>
      </c>
    </row>
    <row r="584">
      <c r="A584" s="1" t="s">
        <v>1119</v>
      </c>
      <c r="B584" s="1" t="s">
        <v>18</v>
      </c>
      <c r="C584" s="1" t="s">
        <v>35</v>
      </c>
      <c r="D584" s="5">
        <v>46023.583333333336</v>
      </c>
      <c r="E584" s="5">
        <v>46054.458333333336</v>
      </c>
      <c r="F584" s="6">
        <v>48.0</v>
      </c>
      <c r="G584" s="1" t="s">
        <v>14</v>
      </c>
      <c r="H584" s="7">
        <f t="shared" ref="H584:I584" si="585">DATE(MID(D584,7,4), MID(D584,4,2), LEFT(D584,2)) + TIMEVALUE(MID(D584,12,5))
</f>
        <v>46023.58333</v>
      </c>
      <c r="I584" s="7">
        <f t="shared" si="585"/>
        <v>46024.45833</v>
      </c>
      <c r="J584" s="4">
        <f t="shared" si="3"/>
        <v>21</v>
      </c>
      <c r="K584" s="4" t="str">
        <f t="shared" si="4"/>
        <v>Within SLA</v>
      </c>
    </row>
    <row r="585">
      <c r="A585" s="1" t="s">
        <v>1120</v>
      </c>
      <c r="B585" s="1" t="s">
        <v>11</v>
      </c>
      <c r="C585" s="1" t="s">
        <v>19</v>
      </c>
      <c r="D585" s="6" t="s">
        <v>731</v>
      </c>
      <c r="E585" s="5">
        <v>46024.291666666664</v>
      </c>
      <c r="F585" s="6">
        <v>24.0</v>
      </c>
      <c r="G585" s="1" t="s">
        <v>14</v>
      </c>
      <c r="H585" s="7">
        <f t="shared" ref="H585:I585" si="586">DATE(MID(D585,7,4), MID(D585,4,2), LEFT(D585,2)) + TIMEVALUE(MID(D585,12,5))
</f>
        <v>46052.125</v>
      </c>
      <c r="I585" s="7">
        <f t="shared" si="586"/>
        <v>46054.29167</v>
      </c>
      <c r="J585" s="4">
        <f t="shared" si="3"/>
        <v>52</v>
      </c>
      <c r="K585" s="4" t="str">
        <f t="shared" si="4"/>
        <v>Breached</v>
      </c>
    </row>
    <row r="586">
      <c r="A586" s="1" t="s">
        <v>1121</v>
      </c>
      <c r="B586" s="1" t="s">
        <v>11</v>
      </c>
      <c r="C586" s="1" t="s">
        <v>19</v>
      </c>
      <c r="D586" s="6" t="s">
        <v>1122</v>
      </c>
      <c r="E586" s="6" t="s">
        <v>249</v>
      </c>
      <c r="F586" s="6">
        <v>24.0</v>
      </c>
      <c r="G586" s="1" t="s">
        <v>14</v>
      </c>
      <c r="H586" s="7">
        <f t="shared" ref="H586:I586" si="587">DATE(MID(D586,7,4), MID(D586,4,2), LEFT(D586,2)) + TIMEVALUE(MID(D586,12,5))
</f>
        <v>46069.20833</v>
      </c>
      <c r="I586" s="7">
        <f t="shared" si="587"/>
        <v>46073.08333</v>
      </c>
      <c r="J586" s="4">
        <f t="shared" si="3"/>
        <v>93</v>
      </c>
      <c r="K586" s="4" t="str">
        <f t="shared" si="4"/>
        <v>Breached</v>
      </c>
    </row>
    <row r="587">
      <c r="A587" s="1" t="s">
        <v>1123</v>
      </c>
      <c r="B587" s="1" t="s">
        <v>23</v>
      </c>
      <c r="C587" s="1" t="s">
        <v>35</v>
      </c>
      <c r="D587" s="5">
        <v>46056.25</v>
      </c>
      <c r="E587" s="5">
        <v>46145.791666666664</v>
      </c>
      <c r="F587" s="6">
        <v>48.0</v>
      </c>
      <c r="G587" s="1" t="s">
        <v>14</v>
      </c>
      <c r="H587" s="7">
        <f t="shared" ref="H587:I587" si="588">DATE(MID(D587,7,4), MID(D587,4,2), LEFT(D587,2)) + TIMEVALUE(MID(D587,12,5))
</f>
        <v>46083.25</v>
      </c>
      <c r="I587" s="7">
        <f t="shared" si="588"/>
        <v>46086.79167</v>
      </c>
      <c r="J587" s="4">
        <f t="shared" si="3"/>
        <v>85</v>
      </c>
      <c r="K587" s="4" t="str">
        <f t="shared" si="4"/>
        <v>Breached</v>
      </c>
    </row>
    <row r="588">
      <c r="A588" s="1" t="s">
        <v>1124</v>
      </c>
      <c r="B588" s="1" t="s">
        <v>23</v>
      </c>
      <c r="C588" s="1" t="s">
        <v>19</v>
      </c>
      <c r="D588" s="5">
        <v>46266.958333333336</v>
      </c>
      <c r="E588" s="5">
        <v>46357.875</v>
      </c>
      <c r="F588" s="6">
        <v>24.0</v>
      </c>
      <c r="G588" s="1" t="s">
        <v>14</v>
      </c>
      <c r="H588" s="7">
        <f t="shared" ref="H588:I588" si="589">DATE(MID(D588,7,4), MID(D588,4,2), LEFT(D588,2)) + TIMEVALUE(MID(D588,12,5))
</f>
        <v>46031.95833</v>
      </c>
      <c r="I588" s="7">
        <f t="shared" si="589"/>
        <v>46034.875</v>
      </c>
      <c r="J588" s="4">
        <f t="shared" si="3"/>
        <v>70</v>
      </c>
      <c r="K588" s="4" t="str">
        <f t="shared" si="4"/>
        <v>Breached</v>
      </c>
    </row>
    <row r="589">
      <c r="A589" s="1" t="s">
        <v>1125</v>
      </c>
      <c r="B589" s="1" t="s">
        <v>23</v>
      </c>
      <c r="C589" s="1" t="s">
        <v>19</v>
      </c>
      <c r="D589" s="6" t="s">
        <v>1126</v>
      </c>
      <c r="E589" s="6" t="s">
        <v>1127</v>
      </c>
      <c r="F589" s="6">
        <v>24.0</v>
      </c>
      <c r="G589" s="1" t="s">
        <v>14</v>
      </c>
      <c r="H589" s="7">
        <f t="shared" ref="H589:I589" si="590">DATE(MID(D589,7,4), MID(D589,4,2), LEFT(D589,2)) + TIMEVALUE(MID(D589,12,5))
</f>
        <v>46097.20833</v>
      </c>
      <c r="I589" s="7">
        <f t="shared" si="590"/>
        <v>46100.41667</v>
      </c>
      <c r="J589" s="4">
        <f t="shared" si="3"/>
        <v>77</v>
      </c>
      <c r="K589" s="4" t="str">
        <f t="shared" si="4"/>
        <v>Breached</v>
      </c>
    </row>
    <row r="590">
      <c r="A590" s="1" t="s">
        <v>1128</v>
      </c>
      <c r="B590" s="1" t="s">
        <v>23</v>
      </c>
      <c r="C590" s="1" t="s">
        <v>12</v>
      </c>
      <c r="D590" s="6" t="s">
        <v>805</v>
      </c>
      <c r="E590" s="6" t="s">
        <v>368</v>
      </c>
      <c r="F590" s="6">
        <v>72.0</v>
      </c>
      <c r="G590" s="1" t="s">
        <v>14</v>
      </c>
      <c r="H590" s="7">
        <f t="shared" ref="H590:I590" si="591">DATE(MID(D590,7,4), MID(D590,4,2), LEFT(D590,2)) + TIMEVALUE(MID(D590,12,5))
</f>
        <v>46066.45833</v>
      </c>
      <c r="I590" s="7">
        <f t="shared" si="591"/>
        <v>46070.04167</v>
      </c>
      <c r="J590" s="4">
        <f t="shared" si="3"/>
        <v>86</v>
      </c>
      <c r="K590" s="4" t="str">
        <f t="shared" si="4"/>
        <v>Breached</v>
      </c>
    </row>
    <row r="591">
      <c r="A591" s="1" t="s">
        <v>1129</v>
      </c>
      <c r="B591" s="1" t="s">
        <v>34</v>
      </c>
      <c r="C591" s="1" t="s">
        <v>35</v>
      </c>
      <c r="D591" s="5">
        <v>46143.708333333336</v>
      </c>
      <c r="E591" s="5">
        <v>46266.208333333336</v>
      </c>
      <c r="F591" s="6">
        <v>48.0</v>
      </c>
      <c r="G591" s="1" t="s">
        <v>14</v>
      </c>
      <c r="H591" s="7">
        <f t="shared" ref="H591:I591" si="592">DATE(MID(D591,7,4), MID(D591,4,2), LEFT(D591,2)) + TIMEVALUE(MID(D591,12,5))
</f>
        <v>46027.70833</v>
      </c>
      <c r="I591" s="7">
        <f t="shared" si="592"/>
        <v>46031.20833</v>
      </c>
      <c r="J591" s="4">
        <f t="shared" si="3"/>
        <v>84</v>
      </c>
      <c r="K591" s="4" t="str">
        <f t="shared" si="4"/>
        <v>Breached</v>
      </c>
    </row>
    <row r="592">
      <c r="A592" s="1" t="s">
        <v>1130</v>
      </c>
      <c r="B592" s="1" t="s">
        <v>18</v>
      </c>
      <c r="C592" s="1" t="s">
        <v>19</v>
      </c>
      <c r="D592" s="6" t="s">
        <v>1131</v>
      </c>
      <c r="E592" s="6" t="s">
        <v>1132</v>
      </c>
      <c r="F592" s="6">
        <v>24.0</v>
      </c>
      <c r="G592" s="1" t="s">
        <v>14</v>
      </c>
      <c r="H592" s="7">
        <f t="shared" ref="H592:I592" si="593">DATE(MID(D592,7,4), MID(D592,4,2), LEFT(D592,2)) + TIMEVALUE(MID(D592,12,5))
</f>
        <v>46039.125</v>
      </c>
      <c r="I592" s="7">
        <f t="shared" si="593"/>
        <v>46042.66667</v>
      </c>
      <c r="J592" s="4">
        <f t="shared" si="3"/>
        <v>85</v>
      </c>
      <c r="K592" s="4" t="str">
        <f t="shared" si="4"/>
        <v>Breached</v>
      </c>
    </row>
    <row r="593">
      <c r="A593" s="1" t="s">
        <v>1133</v>
      </c>
      <c r="B593" s="1" t="s">
        <v>16</v>
      </c>
      <c r="C593" s="1" t="s">
        <v>19</v>
      </c>
      <c r="D593" s="5">
        <v>46206.833333333336</v>
      </c>
      <c r="E593" s="5">
        <v>46298.916666666664</v>
      </c>
      <c r="F593" s="6">
        <v>24.0</v>
      </c>
      <c r="G593" s="1" t="s">
        <v>14</v>
      </c>
      <c r="H593" s="7">
        <f t="shared" ref="H593:I593" si="594">DATE(MID(D593,7,4), MID(D593,4,2), LEFT(D593,2)) + TIMEVALUE(MID(D593,12,5))
</f>
        <v>46088.83333</v>
      </c>
      <c r="I593" s="7">
        <f t="shared" si="594"/>
        <v>46091.91667</v>
      </c>
      <c r="J593" s="4">
        <f t="shared" si="3"/>
        <v>74</v>
      </c>
      <c r="K593" s="4" t="str">
        <f t="shared" si="4"/>
        <v>Breached</v>
      </c>
    </row>
    <row r="594">
      <c r="A594" s="1" t="s">
        <v>1134</v>
      </c>
      <c r="B594" s="1" t="s">
        <v>18</v>
      </c>
      <c r="C594" s="1" t="s">
        <v>12</v>
      </c>
      <c r="D594" s="5">
        <v>46054.458333333336</v>
      </c>
      <c r="E594" s="5">
        <v>46113.0</v>
      </c>
      <c r="F594" s="6">
        <v>72.0</v>
      </c>
      <c r="G594" s="1" t="s">
        <v>14</v>
      </c>
      <c r="H594" s="7">
        <f t="shared" ref="H594:I594" si="595">DATE(MID(D594,7,4), MID(D594,4,2), LEFT(D594,2)) + TIMEVALUE(MID(D594,12,5))
</f>
        <v>46024.45833</v>
      </c>
      <c r="I594" s="7">
        <f t="shared" si="595"/>
        <v>46026</v>
      </c>
      <c r="J594" s="4">
        <f t="shared" si="3"/>
        <v>37</v>
      </c>
      <c r="K594" s="4" t="str">
        <f t="shared" si="4"/>
        <v>Within SLA</v>
      </c>
    </row>
    <row r="595">
      <c r="A595" s="1" t="s">
        <v>1135</v>
      </c>
      <c r="B595" s="1" t="s">
        <v>11</v>
      </c>
      <c r="C595" s="1" t="s">
        <v>19</v>
      </c>
      <c r="D595" s="5">
        <v>46143.875</v>
      </c>
      <c r="E595" s="5">
        <v>46204.583333333336</v>
      </c>
      <c r="F595" s="6">
        <v>24.0</v>
      </c>
      <c r="G595" s="1" t="s">
        <v>14</v>
      </c>
      <c r="H595" s="7">
        <f t="shared" ref="H595:I595" si="596">DATE(MID(D595,7,4), MID(D595,4,2), LEFT(D595,2)) + TIMEVALUE(MID(D595,12,5))
</f>
        <v>46027.875</v>
      </c>
      <c r="I595" s="7">
        <f t="shared" si="596"/>
        <v>46029.58333</v>
      </c>
      <c r="J595" s="4">
        <f t="shared" si="3"/>
        <v>41</v>
      </c>
      <c r="K595" s="4" t="str">
        <f t="shared" si="4"/>
        <v>Breached</v>
      </c>
    </row>
    <row r="596">
      <c r="A596" s="1" t="s">
        <v>1136</v>
      </c>
      <c r="B596" s="1" t="s">
        <v>16</v>
      </c>
      <c r="C596" s="1" t="s">
        <v>12</v>
      </c>
      <c r="D596" s="6" t="s">
        <v>1137</v>
      </c>
      <c r="E596" s="6" t="s">
        <v>51</v>
      </c>
      <c r="F596" s="6">
        <v>72.0</v>
      </c>
      <c r="G596" s="1" t="s">
        <v>14</v>
      </c>
      <c r="H596" s="7">
        <f t="shared" ref="H596:I596" si="597">DATE(MID(D596,7,4), MID(D596,4,2), LEFT(D596,2)) + TIMEVALUE(MID(D596,12,5))
</f>
        <v>46050.70833</v>
      </c>
      <c r="I596" s="7">
        <f t="shared" si="597"/>
        <v>46053.29167</v>
      </c>
      <c r="J596" s="4">
        <f t="shared" si="3"/>
        <v>62</v>
      </c>
      <c r="K596" s="4" t="str">
        <f t="shared" si="4"/>
        <v>Within SLA</v>
      </c>
    </row>
    <row r="597">
      <c r="A597" s="1" t="s">
        <v>1138</v>
      </c>
      <c r="B597" s="1" t="s">
        <v>16</v>
      </c>
      <c r="C597" s="1" t="s">
        <v>12</v>
      </c>
      <c r="D597" s="5">
        <v>46025.541666666664</v>
      </c>
      <c r="E597" s="5">
        <v>46115.583333333336</v>
      </c>
      <c r="F597" s="6">
        <v>72.0</v>
      </c>
      <c r="G597" s="1" t="s">
        <v>14</v>
      </c>
      <c r="H597" s="7">
        <f t="shared" ref="H597:I597" si="598">DATE(MID(D597,7,4), MID(D597,4,2), LEFT(D597,2)) + TIMEVALUE(MID(D597,12,5))
</f>
        <v>46082.54167</v>
      </c>
      <c r="I597" s="7">
        <f t="shared" si="598"/>
        <v>46085.58333</v>
      </c>
      <c r="J597" s="4">
        <f t="shared" si="3"/>
        <v>73</v>
      </c>
      <c r="K597" s="4" t="str">
        <f t="shared" si="4"/>
        <v>Breached</v>
      </c>
    </row>
    <row r="598">
      <c r="A598" s="1" t="s">
        <v>1139</v>
      </c>
      <c r="B598" s="1" t="s">
        <v>11</v>
      </c>
      <c r="C598" s="1" t="s">
        <v>19</v>
      </c>
      <c r="D598" s="6" t="s">
        <v>985</v>
      </c>
      <c r="E598" s="6" t="s">
        <v>1140</v>
      </c>
      <c r="F598" s="6">
        <v>24.0</v>
      </c>
      <c r="G598" s="1" t="s">
        <v>14</v>
      </c>
      <c r="H598" s="7">
        <f t="shared" ref="H598:I598" si="599">DATE(MID(D598,7,4), MID(D598,4,2), LEFT(D598,2)) + TIMEVALUE(MID(D598,12,5))
</f>
        <v>46040.66667</v>
      </c>
      <c r="I598" s="7">
        <f t="shared" si="599"/>
        <v>46044.5</v>
      </c>
      <c r="J598" s="4">
        <f t="shared" si="3"/>
        <v>92</v>
      </c>
      <c r="K598" s="4" t="str">
        <f t="shared" si="4"/>
        <v>Breached</v>
      </c>
    </row>
    <row r="599">
      <c r="A599" s="1" t="s">
        <v>1141</v>
      </c>
      <c r="B599" s="1" t="s">
        <v>11</v>
      </c>
      <c r="C599" s="1" t="s">
        <v>12</v>
      </c>
      <c r="D599" s="6" t="s">
        <v>1142</v>
      </c>
      <c r="E599" s="6" t="s">
        <v>564</v>
      </c>
      <c r="F599" s="6">
        <v>72.0</v>
      </c>
      <c r="G599" s="1" t="s">
        <v>14</v>
      </c>
      <c r="H599" s="7">
        <f t="shared" ref="H599:I599" si="600">DATE(MID(D599,7,4), MID(D599,4,2), LEFT(D599,2)) + TIMEVALUE(MID(D599,12,5))
</f>
        <v>46076.70833</v>
      </c>
      <c r="I599" s="7">
        <f t="shared" si="600"/>
        <v>46079.25</v>
      </c>
      <c r="J599" s="4">
        <f t="shared" si="3"/>
        <v>61</v>
      </c>
      <c r="K599" s="4" t="str">
        <f t="shared" si="4"/>
        <v>Within SLA</v>
      </c>
    </row>
    <row r="600">
      <c r="A600" s="1" t="s">
        <v>1143</v>
      </c>
      <c r="B600" s="1" t="s">
        <v>34</v>
      </c>
      <c r="C600" s="1" t="s">
        <v>35</v>
      </c>
      <c r="D600" s="6" t="s">
        <v>1144</v>
      </c>
      <c r="E600" s="6" t="s">
        <v>1010</v>
      </c>
      <c r="F600" s="6">
        <v>48.0</v>
      </c>
      <c r="G600" s="1" t="s">
        <v>14</v>
      </c>
      <c r="H600" s="7">
        <f t="shared" ref="H600:I600" si="601">DATE(MID(D600,7,4), MID(D600,4,2), LEFT(D600,2)) + TIMEVALUE(MID(D600,12,5))
</f>
        <v>46072.04167</v>
      </c>
      <c r="I600" s="7">
        <f t="shared" si="601"/>
        <v>46075.625</v>
      </c>
      <c r="J600" s="4">
        <f t="shared" si="3"/>
        <v>86</v>
      </c>
      <c r="K600" s="4" t="str">
        <f t="shared" si="4"/>
        <v>Breached</v>
      </c>
    </row>
    <row r="601">
      <c r="A601" s="1" t="s">
        <v>1145</v>
      </c>
      <c r="B601" s="1" t="s">
        <v>18</v>
      </c>
      <c r="C601" s="1" t="s">
        <v>35</v>
      </c>
      <c r="D601" s="6" t="s">
        <v>1127</v>
      </c>
      <c r="E601" s="6" t="s">
        <v>749</v>
      </c>
      <c r="F601" s="6">
        <v>48.0</v>
      </c>
      <c r="G601" s="1" t="s">
        <v>14</v>
      </c>
      <c r="H601" s="7">
        <f t="shared" ref="H601:I601" si="602">DATE(MID(D601,7,4), MID(D601,4,2), LEFT(D601,2)) + TIMEVALUE(MID(D601,12,5))
</f>
        <v>46100.41667</v>
      </c>
      <c r="I601" s="7">
        <f t="shared" si="602"/>
        <v>46102.20833</v>
      </c>
      <c r="J601" s="4">
        <f t="shared" si="3"/>
        <v>43</v>
      </c>
      <c r="K601" s="4" t="str">
        <f t="shared" si="4"/>
        <v>Within SLA</v>
      </c>
    </row>
    <row r="602">
      <c r="A602" s="1" t="s">
        <v>1146</v>
      </c>
      <c r="B602" s="1" t="s">
        <v>11</v>
      </c>
      <c r="C602" s="1" t="s">
        <v>12</v>
      </c>
      <c r="D602" s="6" t="s">
        <v>1147</v>
      </c>
      <c r="E602" s="6" t="s">
        <v>1148</v>
      </c>
      <c r="F602" s="6">
        <v>72.0</v>
      </c>
      <c r="G602" s="1" t="s">
        <v>14</v>
      </c>
      <c r="H602" s="7">
        <f t="shared" ref="H602:I602" si="603">DATE(MID(D602,7,4), MID(D602,4,2), LEFT(D602,2)) + TIMEVALUE(MID(D602,12,5))
</f>
        <v>46077.79167</v>
      </c>
      <c r="I602" s="7">
        <f t="shared" si="603"/>
        <v>46080.95833</v>
      </c>
      <c r="J602" s="4">
        <f t="shared" si="3"/>
        <v>76</v>
      </c>
      <c r="K602" s="4" t="str">
        <f t="shared" si="4"/>
        <v>Breached</v>
      </c>
    </row>
    <row r="603">
      <c r="A603" s="1" t="s">
        <v>1149</v>
      </c>
      <c r="B603" s="1" t="s">
        <v>11</v>
      </c>
      <c r="C603" s="1" t="s">
        <v>12</v>
      </c>
      <c r="D603" s="5">
        <v>46174.083333333336</v>
      </c>
      <c r="E603" s="5">
        <v>46204.875</v>
      </c>
      <c r="F603" s="6">
        <v>72.0</v>
      </c>
      <c r="G603" s="1" t="s">
        <v>14</v>
      </c>
      <c r="H603" s="7">
        <f t="shared" ref="H603:I603" si="604">DATE(MID(D603,7,4), MID(D603,4,2), LEFT(D603,2)) + TIMEVALUE(MID(D603,12,5))
</f>
        <v>46028.08333</v>
      </c>
      <c r="I603" s="7">
        <f t="shared" si="604"/>
        <v>46029.875</v>
      </c>
      <c r="J603" s="4">
        <f t="shared" si="3"/>
        <v>43</v>
      </c>
      <c r="K603" s="4" t="str">
        <f t="shared" si="4"/>
        <v>Within SLA</v>
      </c>
    </row>
    <row r="604">
      <c r="A604" s="1" t="s">
        <v>1150</v>
      </c>
      <c r="B604" s="1" t="s">
        <v>16</v>
      </c>
      <c r="C604" s="1" t="s">
        <v>35</v>
      </c>
      <c r="D604" s="6" t="s">
        <v>1151</v>
      </c>
      <c r="E604" s="5">
        <v>46115.166666666664</v>
      </c>
      <c r="F604" s="6">
        <v>48.0</v>
      </c>
      <c r="G604" s="1" t="s">
        <v>14</v>
      </c>
      <c r="H604" s="7">
        <f t="shared" ref="H604:I604" si="605">DATE(MID(D604,7,4), MID(D604,4,2), LEFT(D604,2)) + TIMEVALUE(MID(D604,12,5))
</f>
        <v>46081.95833</v>
      </c>
      <c r="I604" s="7">
        <f t="shared" si="605"/>
        <v>46085.16667</v>
      </c>
      <c r="J604" s="4">
        <f t="shared" si="3"/>
        <v>77</v>
      </c>
      <c r="K604" s="4" t="str">
        <f t="shared" si="4"/>
        <v>Breached</v>
      </c>
    </row>
    <row r="605">
      <c r="A605" s="1" t="s">
        <v>1152</v>
      </c>
      <c r="B605" s="1" t="s">
        <v>11</v>
      </c>
      <c r="C605" s="1" t="s">
        <v>12</v>
      </c>
      <c r="D605" s="5">
        <v>46328.875</v>
      </c>
      <c r="E605" s="6" t="s">
        <v>1153</v>
      </c>
      <c r="F605" s="6">
        <v>72.0</v>
      </c>
      <c r="G605" s="1" t="s">
        <v>14</v>
      </c>
      <c r="H605" s="7">
        <f t="shared" ref="H605:I605" si="606">DATE(MID(D605,7,4), MID(D605,4,2), LEFT(D605,2)) + TIMEVALUE(MID(D605,12,5))
</f>
        <v>46064.875</v>
      </c>
      <c r="I605" s="7">
        <f t="shared" si="606"/>
        <v>46066.91667</v>
      </c>
      <c r="J605" s="4">
        <f t="shared" si="3"/>
        <v>49</v>
      </c>
      <c r="K605" s="4" t="str">
        <f t="shared" si="4"/>
        <v>Within SLA</v>
      </c>
    </row>
    <row r="606">
      <c r="A606" s="1" t="s">
        <v>1154</v>
      </c>
      <c r="B606" s="1" t="s">
        <v>34</v>
      </c>
      <c r="C606" s="1" t="s">
        <v>35</v>
      </c>
      <c r="D606" s="6" t="s">
        <v>811</v>
      </c>
      <c r="E606" s="6" t="s">
        <v>1155</v>
      </c>
      <c r="F606" s="6">
        <v>48.0</v>
      </c>
      <c r="G606" s="1" t="s">
        <v>14</v>
      </c>
      <c r="H606" s="7">
        <f t="shared" ref="H606:I606" si="607">DATE(MID(D606,7,4), MID(D606,4,2), LEFT(D606,2)) + TIMEVALUE(MID(D606,12,5))
</f>
        <v>46100.83333</v>
      </c>
      <c r="I606" s="7">
        <f t="shared" si="607"/>
        <v>46102.79167</v>
      </c>
      <c r="J606" s="4">
        <f t="shared" si="3"/>
        <v>47</v>
      </c>
      <c r="K606" s="4" t="str">
        <f t="shared" si="4"/>
        <v>Within SLA</v>
      </c>
    </row>
    <row r="607">
      <c r="A607" s="1" t="s">
        <v>1156</v>
      </c>
      <c r="B607" s="1" t="s">
        <v>23</v>
      </c>
      <c r="C607" s="1" t="s">
        <v>12</v>
      </c>
      <c r="D607" s="6" t="s">
        <v>1157</v>
      </c>
      <c r="E607" s="6" t="s">
        <v>1158</v>
      </c>
      <c r="F607" s="6">
        <v>72.0</v>
      </c>
      <c r="G607" s="1" t="s">
        <v>14</v>
      </c>
      <c r="H607" s="7">
        <f t="shared" ref="H607:I607" si="608">DATE(MID(D607,7,4), MID(D607,4,2), LEFT(D607,2)) + TIMEVALUE(MID(D607,12,5))
</f>
        <v>46106.125</v>
      </c>
      <c r="I607" s="7">
        <f t="shared" si="608"/>
        <v>46107.58333</v>
      </c>
      <c r="J607" s="4">
        <f t="shared" si="3"/>
        <v>35</v>
      </c>
      <c r="K607" s="4" t="str">
        <f t="shared" si="4"/>
        <v>Within SLA</v>
      </c>
    </row>
    <row r="608">
      <c r="A608" s="1" t="s">
        <v>1159</v>
      </c>
      <c r="B608" s="1" t="s">
        <v>16</v>
      </c>
      <c r="C608" s="1" t="s">
        <v>19</v>
      </c>
      <c r="D608" s="6" t="s">
        <v>1160</v>
      </c>
      <c r="E608" s="6" t="s">
        <v>1161</v>
      </c>
      <c r="F608" s="6">
        <v>24.0</v>
      </c>
      <c r="G608" s="1" t="s">
        <v>14</v>
      </c>
      <c r="H608" s="7">
        <f t="shared" ref="H608:I608" si="609">DATE(MID(D608,7,4), MID(D608,4,2), LEFT(D608,2)) + TIMEVALUE(MID(D608,12,5))
</f>
        <v>46040.45833</v>
      </c>
      <c r="I608" s="7">
        <f t="shared" si="609"/>
        <v>46044.04167</v>
      </c>
      <c r="J608" s="4">
        <f t="shared" si="3"/>
        <v>86</v>
      </c>
      <c r="K608" s="4" t="str">
        <f t="shared" si="4"/>
        <v>Breached</v>
      </c>
    </row>
    <row r="609">
      <c r="A609" s="1" t="s">
        <v>1162</v>
      </c>
      <c r="B609" s="1" t="s">
        <v>23</v>
      </c>
      <c r="C609" s="1" t="s">
        <v>12</v>
      </c>
      <c r="D609" s="6" t="s">
        <v>1163</v>
      </c>
      <c r="E609" s="6" t="s">
        <v>351</v>
      </c>
      <c r="F609" s="6">
        <v>72.0</v>
      </c>
      <c r="G609" s="1" t="s">
        <v>14</v>
      </c>
      <c r="H609" s="7">
        <f t="shared" ref="H609:I609" si="610">DATE(MID(D609,7,4), MID(D609,4,2), LEFT(D609,2)) + TIMEVALUE(MID(D609,12,5))
</f>
        <v>46042.5</v>
      </c>
      <c r="I609" s="7">
        <f t="shared" si="610"/>
        <v>46044.95833</v>
      </c>
      <c r="J609" s="4">
        <f t="shared" si="3"/>
        <v>59</v>
      </c>
      <c r="K609" s="4" t="str">
        <f t="shared" si="4"/>
        <v>Within SLA</v>
      </c>
    </row>
    <row r="610">
      <c r="A610" s="1" t="s">
        <v>1164</v>
      </c>
      <c r="B610" s="1" t="s">
        <v>18</v>
      </c>
      <c r="C610" s="1" t="s">
        <v>19</v>
      </c>
      <c r="D610" s="6" t="s">
        <v>1165</v>
      </c>
      <c r="E610" s="6" t="s">
        <v>25</v>
      </c>
      <c r="F610" s="6">
        <v>24.0</v>
      </c>
      <c r="G610" s="1" t="s">
        <v>14</v>
      </c>
      <c r="H610" s="7">
        <f t="shared" ref="H610:I610" si="611">DATE(MID(D610,7,4), MID(D610,4,2), LEFT(D610,2)) + TIMEVALUE(MID(D610,12,5))
</f>
        <v>46076.66667</v>
      </c>
      <c r="I610" s="7">
        <f t="shared" si="611"/>
        <v>46078.29167</v>
      </c>
      <c r="J610" s="4">
        <f t="shared" si="3"/>
        <v>39</v>
      </c>
      <c r="K610" s="4" t="str">
        <f t="shared" si="4"/>
        <v>Breached</v>
      </c>
    </row>
    <row r="611">
      <c r="A611" s="1" t="s">
        <v>1166</v>
      </c>
      <c r="B611" s="1" t="s">
        <v>18</v>
      </c>
      <c r="C611" s="1" t="s">
        <v>35</v>
      </c>
      <c r="D611" s="5">
        <v>46024.916666666664</v>
      </c>
      <c r="E611" s="5">
        <v>46114.416666666664</v>
      </c>
      <c r="F611" s="6">
        <v>48.0</v>
      </c>
      <c r="G611" s="1" t="s">
        <v>14</v>
      </c>
      <c r="H611" s="7">
        <f t="shared" ref="H611:I611" si="612">DATE(MID(D611,7,4), MID(D611,4,2), LEFT(D611,2)) + TIMEVALUE(MID(D611,12,5))
</f>
        <v>46054.91667</v>
      </c>
      <c r="I611" s="7">
        <f t="shared" si="612"/>
        <v>46057.41667</v>
      </c>
      <c r="J611" s="4">
        <f t="shared" si="3"/>
        <v>60</v>
      </c>
      <c r="K611" s="4" t="str">
        <f t="shared" si="4"/>
        <v>Breached</v>
      </c>
    </row>
    <row r="612">
      <c r="A612" s="1" t="s">
        <v>1167</v>
      </c>
      <c r="B612" s="1" t="s">
        <v>23</v>
      </c>
      <c r="C612" s="1" t="s">
        <v>35</v>
      </c>
      <c r="D612" s="5">
        <v>46328.875</v>
      </c>
      <c r="E612" s="6" t="s">
        <v>128</v>
      </c>
      <c r="F612" s="6">
        <v>48.0</v>
      </c>
      <c r="G612" s="1" t="s">
        <v>14</v>
      </c>
      <c r="H612" s="7">
        <f t="shared" ref="H612:I612" si="613">DATE(MID(D612,7,4), MID(D612,4,2), LEFT(D612,2)) + TIMEVALUE(MID(D612,12,5))
</f>
        <v>46064.875</v>
      </c>
      <c r="I612" s="7">
        <f t="shared" si="613"/>
        <v>46067.25</v>
      </c>
      <c r="J612" s="4">
        <f t="shared" si="3"/>
        <v>57</v>
      </c>
      <c r="K612" s="4" t="str">
        <f t="shared" si="4"/>
        <v>Breached</v>
      </c>
    </row>
    <row r="613">
      <c r="A613" s="1" t="s">
        <v>1168</v>
      </c>
      <c r="B613" s="1" t="s">
        <v>18</v>
      </c>
      <c r="C613" s="1" t="s">
        <v>35</v>
      </c>
      <c r="D613" s="5">
        <v>46023.541666666664</v>
      </c>
      <c r="E613" s="5">
        <v>46143.5</v>
      </c>
      <c r="F613" s="6">
        <v>48.0</v>
      </c>
      <c r="G613" s="1" t="s">
        <v>14</v>
      </c>
      <c r="H613" s="7">
        <f t="shared" ref="H613:I613" si="614">DATE(MID(D613,7,4), MID(D613,4,2), LEFT(D613,2)) + TIMEVALUE(MID(D613,12,5))
</f>
        <v>46023.54167</v>
      </c>
      <c r="I613" s="7">
        <f t="shared" si="614"/>
        <v>46027.5</v>
      </c>
      <c r="J613" s="4">
        <f t="shared" si="3"/>
        <v>95</v>
      </c>
      <c r="K613" s="4" t="str">
        <f t="shared" si="4"/>
        <v>Breached</v>
      </c>
    </row>
    <row r="614">
      <c r="A614" s="1" t="s">
        <v>1169</v>
      </c>
      <c r="B614" s="1" t="s">
        <v>18</v>
      </c>
      <c r="C614" s="1" t="s">
        <v>35</v>
      </c>
      <c r="D614" s="6" t="s">
        <v>1170</v>
      </c>
      <c r="E614" s="6" t="s">
        <v>1171</v>
      </c>
      <c r="F614" s="6">
        <v>48.0</v>
      </c>
      <c r="G614" s="1" t="s">
        <v>14</v>
      </c>
      <c r="H614" s="7">
        <f t="shared" ref="H614:I614" si="615">DATE(MID(D614,7,4), MID(D614,4,2), LEFT(D614,2)) + TIMEVALUE(MID(D614,12,5))
</f>
        <v>46103.875</v>
      </c>
      <c r="I614" s="7">
        <f t="shared" si="615"/>
        <v>46107.41667</v>
      </c>
      <c r="J614" s="4">
        <f t="shared" si="3"/>
        <v>85</v>
      </c>
      <c r="K614" s="4" t="str">
        <f t="shared" si="4"/>
        <v>Breached</v>
      </c>
    </row>
    <row r="615">
      <c r="A615" s="1" t="s">
        <v>1172</v>
      </c>
      <c r="B615" s="1" t="s">
        <v>23</v>
      </c>
      <c r="C615" s="1" t="s">
        <v>19</v>
      </c>
      <c r="D615" s="5">
        <v>46055.333333333336</v>
      </c>
      <c r="E615" s="5">
        <v>46144.25</v>
      </c>
      <c r="F615" s="6">
        <v>24.0</v>
      </c>
      <c r="G615" s="1" t="s">
        <v>14</v>
      </c>
      <c r="H615" s="7">
        <f t="shared" ref="H615:I615" si="616">DATE(MID(D615,7,4), MID(D615,4,2), LEFT(D615,2)) + TIMEVALUE(MID(D615,12,5))
</f>
        <v>46055.33333</v>
      </c>
      <c r="I615" s="7">
        <f t="shared" si="616"/>
        <v>46058.25</v>
      </c>
      <c r="J615" s="4">
        <f t="shared" si="3"/>
        <v>70</v>
      </c>
      <c r="K615" s="4" t="str">
        <f t="shared" si="4"/>
        <v>Breached</v>
      </c>
    </row>
    <row r="616">
      <c r="A616" s="1" t="s">
        <v>1173</v>
      </c>
      <c r="B616" s="1" t="s">
        <v>34</v>
      </c>
      <c r="C616" s="1" t="s">
        <v>19</v>
      </c>
      <c r="D616" s="6" t="s">
        <v>1174</v>
      </c>
      <c r="E616" s="6" t="s">
        <v>1175</v>
      </c>
      <c r="F616" s="6">
        <v>24.0</v>
      </c>
      <c r="G616" s="1" t="s">
        <v>14</v>
      </c>
      <c r="H616" s="7">
        <f t="shared" ref="H616:I616" si="617">DATE(MID(D616,7,4), MID(D616,4,2), LEFT(D616,2)) + TIMEVALUE(MID(D616,12,5))
</f>
        <v>46103.70833</v>
      </c>
      <c r="I616" s="7">
        <f t="shared" si="617"/>
        <v>46105.875</v>
      </c>
      <c r="J616" s="4">
        <f t="shared" si="3"/>
        <v>52</v>
      </c>
      <c r="K616" s="4" t="str">
        <f t="shared" si="4"/>
        <v>Breached</v>
      </c>
    </row>
    <row r="617">
      <c r="A617" s="1" t="s">
        <v>1176</v>
      </c>
      <c r="B617" s="1" t="s">
        <v>18</v>
      </c>
      <c r="C617" s="1" t="s">
        <v>35</v>
      </c>
      <c r="D617" s="6" t="s">
        <v>1177</v>
      </c>
      <c r="E617" s="6" t="s">
        <v>1178</v>
      </c>
      <c r="F617" s="6">
        <v>48.0</v>
      </c>
      <c r="G617" s="1" t="s">
        <v>14</v>
      </c>
      <c r="H617" s="7">
        <f t="shared" ref="H617:I617" si="618">DATE(MID(D617,7,4), MID(D617,4,2), LEFT(D617,2)) + TIMEVALUE(MID(D617,12,5))
</f>
        <v>46080.54167</v>
      </c>
      <c r="I617" s="7">
        <f t="shared" si="618"/>
        <v>46081.91667</v>
      </c>
      <c r="J617" s="4">
        <f t="shared" si="3"/>
        <v>33</v>
      </c>
      <c r="K617" s="4" t="str">
        <f t="shared" si="4"/>
        <v>Within SLA</v>
      </c>
    </row>
    <row r="618">
      <c r="A618" s="1" t="s">
        <v>1179</v>
      </c>
      <c r="B618" s="1" t="s">
        <v>18</v>
      </c>
      <c r="C618" s="1" t="s">
        <v>19</v>
      </c>
      <c r="D618" s="5">
        <v>46267.833333333336</v>
      </c>
      <c r="E618" s="6" t="s">
        <v>367</v>
      </c>
      <c r="F618" s="6">
        <v>24.0</v>
      </c>
      <c r="G618" s="1" t="s">
        <v>14</v>
      </c>
      <c r="H618" s="7">
        <f t="shared" ref="H618:I618" si="619">DATE(MID(D618,7,4), MID(D618,4,2), LEFT(D618,2)) + TIMEVALUE(MID(D618,12,5))
</f>
        <v>46062.83333</v>
      </c>
      <c r="I618" s="7">
        <f t="shared" si="619"/>
        <v>46066.33333</v>
      </c>
      <c r="J618" s="4">
        <f t="shared" si="3"/>
        <v>84</v>
      </c>
      <c r="K618" s="4" t="str">
        <f t="shared" si="4"/>
        <v>Breached</v>
      </c>
    </row>
    <row r="619">
      <c r="A619" s="1" t="s">
        <v>1180</v>
      </c>
      <c r="B619" s="1" t="s">
        <v>23</v>
      </c>
      <c r="C619" s="1" t="s">
        <v>35</v>
      </c>
      <c r="D619" s="6" t="s">
        <v>1181</v>
      </c>
      <c r="E619" s="6" t="s">
        <v>1182</v>
      </c>
      <c r="F619" s="6">
        <v>48.0</v>
      </c>
      <c r="G619" s="1" t="s">
        <v>14</v>
      </c>
      <c r="H619" s="7">
        <f t="shared" ref="H619:I619" si="620">DATE(MID(D619,7,4), MID(D619,4,2), LEFT(D619,2)) + TIMEVALUE(MID(D619,12,5))
</f>
        <v>46072.29167</v>
      </c>
      <c r="I619" s="7">
        <f t="shared" si="620"/>
        <v>46074.91667</v>
      </c>
      <c r="J619" s="4">
        <f t="shared" si="3"/>
        <v>63</v>
      </c>
      <c r="K619" s="4" t="str">
        <f t="shared" si="4"/>
        <v>Breached</v>
      </c>
    </row>
    <row r="620">
      <c r="A620" s="1" t="s">
        <v>1183</v>
      </c>
      <c r="B620" s="1" t="s">
        <v>11</v>
      </c>
      <c r="C620" s="1" t="s">
        <v>19</v>
      </c>
      <c r="D620" s="5">
        <v>46204.416666666664</v>
      </c>
      <c r="E620" s="5">
        <v>46327.083333333336</v>
      </c>
      <c r="F620" s="6">
        <v>24.0</v>
      </c>
      <c r="G620" s="1" t="s">
        <v>14</v>
      </c>
      <c r="H620" s="7">
        <f t="shared" ref="H620:I620" si="621">DATE(MID(D620,7,4), MID(D620,4,2), LEFT(D620,2)) + TIMEVALUE(MID(D620,12,5))
</f>
        <v>46029.41667</v>
      </c>
      <c r="I620" s="7">
        <f t="shared" si="621"/>
        <v>46033.08333</v>
      </c>
      <c r="J620" s="4">
        <f t="shared" si="3"/>
        <v>88</v>
      </c>
      <c r="K620" s="4" t="str">
        <f t="shared" si="4"/>
        <v>Breached</v>
      </c>
    </row>
    <row r="621">
      <c r="A621" s="1" t="s">
        <v>1184</v>
      </c>
      <c r="B621" s="1" t="s">
        <v>34</v>
      </c>
      <c r="C621" s="1" t="s">
        <v>19</v>
      </c>
      <c r="D621" s="5">
        <v>46114.541666666664</v>
      </c>
      <c r="E621" s="5">
        <v>46144.625</v>
      </c>
      <c r="F621" s="6">
        <v>24.0</v>
      </c>
      <c r="G621" s="1" t="s">
        <v>14</v>
      </c>
      <c r="H621" s="7">
        <f t="shared" ref="H621:I621" si="622">DATE(MID(D621,7,4), MID(D621,4,2), LEFT(D621,2)) + TIMEVALUE(MID(D621,12,5))
</f>
        <v>46057.54167</v>
      </c>
      <c r="I621" s="7">
        <f t="shared" si="622"/>
        <v>46058.625</v>
      </c>
      <c r="J621" s="4">
        <f t="shared" si="3"/>
        <v>26</v>
      </c>
      <c r="K621" s="4" t="str">
        <f t="shared" si="4"/>
        <v>Breached</v>
      </c>
    </row>
    <row r="622">
      <c r="A622" s="1" t="s">
        <v>1185</v>
      </c>
      <c r="B622" s="1" t="s">
        <v>16</v>
      </c>
      <c r="C622" s="1" t="s">
        <v>35</v>
      </c>
      <c r="D622" s="6" t="s">
        <v>1186</v>
      </c>
      <c r="E622" s="6" t="s">
        <v>1187</v>
      </c>
      <c r="F622" s="6">
        <v>48.0</v>
      </c>
      <c r="G622" s="1" t="s">
        <v>14</v>
      </c>
      <c r="H622" s="7">
        <f t="shared" ref="H622:I622" si="623">DATE(MID(D622,7,4), MID(D622,4,2), LEFT(D622,2)) + TIMEVALUE(MID(D622,12,5))
</f>
        <v>46071.45833</v>
      </c>
      <c r="I622" s="7">
        <f t="shared" si="623"/>
        <v>46075.29167</v>
      </c>
      <c r="J622" s="4">
        <f t="shared" si="3"/>
        <v>92</v>
      </c>
      <c r="K622" s="4" t="str">
        <f t="shared" si="4"/>
        <v>Breached</v>
      </c>
    </row>
    <row r="623">
      <c r="A623" s="1" t="s">
        <v>1188</v>
      </c>
      <c r="B623" s="1" t="s">
        <v>11</v>
      </c>
      <c r="C623" s="1" t="s">
        <v>35</v>
      </c>
      <c r="D623" s="5">
        <v>46024.791666666664</v>
      </c>
      <c r="E623" s="5">
        <v>46055.875</v>
      </c>
      <c r="F623" s="6">
        <v>48.0</v>
      </c>
      <c r="G623" s="1" t="s">
        <v>14</v>
      </c>
      <c r="H623" s="7">
        <f t="shared" ref="H623:I623" si="624">DATE(MID(D623,7,4), MID(D623,4,2), LEFT(D623,2)) + TIMEVALUE(MID(D623,12,5))
</f>
        <v>46054.79167</v>
      </c>
      <c r="I623" s="7">
        <f t="shared" si="624"/>
        <v>46055.875</v>
      </c>
      <c r="J623" s="4">
        <f t="shared" si="3"/>
        <v>26</v>
      </c>
      <c r="K623" s="4" t="str">
        <f t="shared" si="4"/>
        <v>Within SLA</v>
      </c>
    </row>
    <row r="624">
      <c r="A624" s="1" t="s">
        <v>1189</v>
      </c>
      <c r="B624" s="1" t="s">
        <v>18</v>
      </c>
      <c r="C624" s="1" t="s">
        <v>19</v>
      </c>
      <c r="D624" s="6" t="s">
        <v>1144</v>
      </c>
      <c r="E624" s="6" t="s">
        <v>1190</v>
      </c>
      <c r="F624" s="6">
        <v>24.0</v>
      </c>
      <c r="G624" s="1" t="s">
        <v>14</v>
      </c>
      <c r="H624" s="7">
        <f t="shared" ref="H624:I624" si="625">DATE(MID(D624,7,4), MID(D624,4,2), LEFT(D624,2)) + TIMEVALUE(MID(D624,12,5))
</f>
        <v>46072.04167</v>
      </c>
      <c r="I624" s="7">
        <f t="shared" si="625"/>
        <v>46075.70833</v>
      </c>
      <c r="J624" s="4">
        <f t="shared" si="3"/>
        <v>88</v>
      </c>
      <c r="K624" s="4" t="str">
        <f t="shared" si="4"/>
        <v>Breached</v>
      </c>
    </row>
    <row r="625">
      <c r="A625" s="1" t="s">
        <v>1191</v>
      </c>
      <c r="B625" s="1" t="s">
        <v>11</v>
      </c>
      <c r="C625" s="1" t="s">
        <v>35</v>
      </c>
      <c r="D625" s="6" t="s">
        <v>1192</v>
      </c>
      <c r="E625" s="6" t="s">
        <v>879</v>
      </c>
      <c r="F625" s="6">
        <v>48.0</v>
      </c>
      <c r="G625" s="1" t="s">
        <v>14</v>
      </c>
      <c r="H625" s="7">
        <f t="shared" ref="H625:I625" si="626">DATE(MID(D625,7,4), MID(D625,4,2), LEFT(D625,2)) + TIMEVALUE(MID(D625,12,5))
</f>
        <v>46043.5</v>
      </c>
      <c r="I625" s="7">
        <f t="shared" si="626"/>
        <v>46045.95833</v>
      </c>
      <c r="J625" s="4">
        <f t="shared" si="3"/>
        <v>59</v>
      </c>
      <c r="K625" s="4" t="str">
        <f t="shared" si="4"/>
        <v>Breached</v>
      </c>
    </row>
    <row r="626">
      <c r="A626" s="1" t="s">
        <v>1193</v>
      </c>
      <c r="B626" s="1" t="s">
        <v>16</v>
      </c>
      <c r="C626" s="1" t="s">
        <v>12</v>
      </c>
      <c r="D626" s="5">
        <v>46144.166666666664</v>
      </c>
      <c r="E626" s="5">
        <v>46144.791666666664</v>
      </c>
      <c r="F626" s="6">
        <v>72.0</v>
      </c>
      <c r="G626" s="1" t="s">
        <v>14</v>
      </c>
      <c r="H626" s="7">
        <f t="shared" ref="H626:I626" si="627">DATE(MID(D626,7,4), MID(D626,4,2), LEFT(D626,2)) + TIMEVALUE(MID(D626,12,5))
</f>
        <v>46058.16667</v>
      </c>
      <c r="I626" s="7">
        <f t="shared" si="627"/>
        <v>46058.79167</v>
      </c>
      <c r="J626" s="4">
        <f t="shared" si="3"/>
        <v>15</v>
      </c>
      <c r="K626" s="4" t="str">
        <f t="shared" si="4"/>
        <v>Within SLA</v>
      </c>
    </row>
    <row r="627">
      <c r="A627" s="1" t="s">
        <v>1194</v>
      </c>
      <c r="B627" s="1" t="s">
        <v>34</v>
      </c>
      <c r="C627" s="1" t="s">
        <v>19</v>
      </c>
      <c r="D627" s="5">
        <v>46176.583333333336</v>
      </c>
      <c r="E627" s="5">
        <v>46206.083333333336</v>
      </c>
      <c r="F627" s="6">
        <v>24.0</v>
      </c>
      <c r="G627" s="1" t="s">
        <v>14</v>
      </c>
      <c r="H627" s="7">
        <f t="shared" ref="H627:I627" si="628">DATE(MID(D627,7,4), MID(D627,4,2), LEFT(D627,2)) + TIMEVALUE(MID(D627,12,5))
</f>
        <v>46087.58333</v>
      </c>
      <c r="I627" s="7">
        <f t="shared" si="628"/>
        <v>46088.08333</v>
      </c>
      <c r="J627" s="4">
        <f t="shared" si="3"/>
        <v>12</v>
      </c>
      <c r="K627" s="4" t="str">
        <f t="shared" si="4"/>
        <v>Within SLA</v>
      </c>
    </row>
    <row r="628">
      <c r="A628" s="1" t="s">
        <v>1195</v>
      </c>
      <c r="B628" s="1" t="s">
        <v>18</v>
      </c>
      <c r="C628" s="1" t="s">
        <v>12</v>
      </c>
      <c r="D628" s="6" t="s">
        <v>1196</v>
      </c>
      <c r="E628" s="6" t="s">
        <v>1197</v>
      </c>
      <c r="F628" s="6">
        <v>72.0</v>
      </c>
      <c r="G628" s="1" t="s">
        <v>14</v>
      </c>
      <c r="H628" s="7">
        <f t="shared" ref="H628:I628" si="629">DATE(MID(D628,7,4), MID(D628,4,2), LEFT(D628,2)) + TIMEVALUE(MID(D628,12,5))
</f>
        <v>46073.66667</v>
      </c>
      <c r="I628" s="7">
        <f t="shared" si="629"/>
        <v>46077</v>
      </c>
      <c r="J628" s="4">
        <f t="shared" si="3"/>
        <v>80</v>
      </c>
      <c r="K628" s="4" t="str">
        <f t="shared" si="4"/>
        <v>Breached</v>
      </c>
    </row>
    <row r="629">
      <c r="A629" s="1" t="s">
        <v>1198</v>
      </c>
      <c r="B629" s="1" t="s">
        <v>16</v>
      </c>
      <c r="C629" s="1" t="s">
        <v>35</v>
      </c>
      <c r="D629" s="5">
        <v>46267.041666666664</v>
      </c>
      <c r="E629" s="5">
        <v>46328.166666666664</v>
      </c>
      <c r="F629" s="6">
        <v>48.0</v>
      </c>
      <c r="G629" s="1" t="s">
        <v>14</v>
      </c>
      <c r="H629" s="7">
        <f t="shared" ref="H629:I629" si="630">DATE(MID(D629,7,4), MID(D629,4,2), LEFT(D629,2)) + TIMEVALUE(MID(D629,12,5))
</f>
        <v>46062.04167</v>
      </c>
      <c r="I629" s="7">
        <f t="shared" si="630"/>
        <v>46064.16667</v>
      </c>
      <c r="J629" s="4">
        <f t="shared" si="3"/>
        <v>51</v>
      </c>
      <c r="K629" s="4" t="str">
        <f t="shared" si="4"/>
        <v>Breached</v>
      </c>
    </row>
    <row r="630">
      <c r="A630" s="1" t="s">
        <v>1199</v>
      </c>
      <c r="B630" s="1" t="s">
        <v>11</v>
      </c>
      <c r="C630" s="1" t="s">
        <v>19</v>
      </c>
      <c r="D630" s="6" t="s">
        <v>627</v>
      </c>
      <c r="E630" s="6" t="s">
        <v>564</v>
      </c>
      <c r="F630" s="6">
        <v>24.0</v>
      </c>
      <c r="G630" s="1" t="s">
        <v>14</v>
      </c>
      <c r="H630" s="7">
        <f t="shared" ref="H630:I630" si="631">DATE(MID(D630,7,4), MID(D630,4,2), LEFT(D630,2)) + TIMEVALUE(MID(D630,12,5))
</f>
        <v>46076.29167</v>
      </c>
      <c r="I630" s="7">
        <f t="shared" si="631"/>
        <v>46079.25</v>
      </c>
      <c r="J630" s="4">
        <f t="shared" si="3"/>
        <v>71</v>
      </c>
      <c r="K630" s="4" t="str">
        <f t="shared" si="4"/>
        <v>Breached</v>
      </c>
    </row>
    <row r="631">
      <c r="A631" s="1" t="s">
        <v>1200</v>
      </c>
      <c r="B631" s="1" t="s">
        <v>23</v>
      </c>
      <c r="C631" s="1" t="s">
        <v>12</v>
      </c>
      <c r="D631" s="5">
        <v>46268.583333333336</v>
      </c>
      <c r="E631" s="5">
        <v>46329.5</v>
      </c>
      <c r="F631" s="6">
        <v>72.0</v>
      </c>
      <c r="G631" s="1" t="s">
        <v>14</v>
      </c>
      <c r="H631" s="7">
        <f t="shared" ref="H631:I631" si="632">DATE(MID(D631,7,4), MID(D631,4,2), LEFT(D631,2)) + TIMEVALUE(MID(D631,12,5))
</f>
        <v>46090.58333</v>
      </c>
      <c r="I631" s="7">
        <f t="shared" si="632"/>
        <v>46092.5</v>
      </c>
      <c r="J631" s="4">
        <f t="shared" si="3"/>
        <v>46</v>
      </c>
      <c r="K631" s="4" t="str">
        <f t="shared" si="4"/>
        <v>Within SLA</v>
      </c>
    </row>
    <row r="632">
      <c r="A632" s="1" t="s">
        <v>1201</v>
      </c>
      <c r="B632" s="1" t="s">
        <v>11</v>
      </c>
      <c r="C632" s="1" t="s">
        <v>12</v>
      </c>
      <c r="D632" s="6" t="s">
        <v>1082</v>
      </c>
      <c r="E632" s="6" t="s">
        <v>694</v>
      </c>
      <c r="F632" s="6">
        <v>72.0</v>
      </c>
      <c r="G632" s="1" t="s">
        <v>14</v>
      </c>
      <c r="H632" s="7">
        <f t="shared" ref="H632:I632" si="633">DATE(MID(D632,7,4), MID(D632,4,2), LEFT(D632,2)) + TIMEVALUE(MID(D632,12,5))
</f>
        <v>46105.20833</v>
      </c>
      <c r="I632" s="7">
        <f t="shared" si="633"/>
        <v>46106.91667</v>
      </c>
      <c r="J632" s="4">
        <f t="shared" si="3"/>
        <v>41</v>
      </c>
      <c r="K632" s="4" t="str">
        <f t="shared" si="4"/>
        <v>Within SLA</v>
      </c>
    </row>
    <row r="633">
      <c r="A633" s="1" t="s">
        <v>1202</v>
      </c>
      <c r="B633" s="1" t="s">
        <v>16</v>
      </c>
      <c r="C633" s="1" t="s">
        <v>19</v>
      </c>
      <c r="D633" s="6" t="s">
        <v>654</v>
      </c>
      <c r="E633" s="6" t="s">
        <v>1203</v>
      </c>
      <c r="F633" s="6">
        <v>24.0</v>
      </c>
      <c r="G633" s="1" t="s">
        <v>14</v>
      </c>
      <c r="H633" s="7">
        <f t="shared" ref="H633:I633" si="634">DATE(MID(D633,7,4), MID(D633,4,2), LEFT(D633,2)) + TIMEVALUE(MID(D633,12,5))
</f>
        <v>46050.29167</v>
      </c>
      <c r="I633" s="7">
        <f t="shared" si="634"/>
        <v>46053.25</v>
      </c>
      <c r="J633" s="4">
        <f t="shared" si="3"/>
        <v>71</v>
      </c>
      <c r="K633" s="4" t="str">
        <f t="shared" si="4"/>
        <v>Breached</v>
      </c>
    </row>
    <row r="634">
      <c r="A634" s="1" t="s">
        <v>1204</v>
      </c>
      <c r="B634" s="1" t="s">
        <v>16</v>
      </c>
      <c r="C634" s="1" t="s">
        <v>12</v>
      </c>
      <c r="D634" s="5">
        <v>46328.583333333336</v>
      </c>
      <c r="E634" s="6" t="s">
        <v>1205</v>
      </c>
      <c r="F634" s="6">
        <v>72.0</v>
      </c>
      <c r="G634" s="1" t="s">
        <v>14</v>
      </c>
      <c r="H634" s="7">
        <f t="shared" ref="H634:I634" si="635">DATE(MID(D634,7,4), MID(D634,4,2), LEFT(D634,2)) + TIMEVALUE(MID(D634,12,5))
</f>
        <v>46064.58333</v>
      </c>
      <c r="I634" s="7">
        <f t="shared" si="635"/>
        <v>46066.95833</v>
      </c>
      <c r="J634" s="4">
        <f t="shared" si="3"/>
        <v>57</v>
      </c>
      <c r="K634" s="4" t="str">
        <f t="shared" si="4"/>
        <v>Within SLA</v>
      </c>
    </row>
    <row r="635">
      <c r="A635" s="1" t="s">
        <v>1206</v>
      </c>
      <c r="B635" s="1" t="s">
        <v>18</v>
      </c>
      <c r="C635" s="1" t="s">
        <v>35</v>
      </c>
      <c r="D635" s="6" t="s">
        <v>1207</v>
      </c>
      <c r="E635" s="5">
        <v>46025.375</v>
      </c>
      <c r="F635" s="6">
        <v>48.0</v>
      </c>
      <c r="G635" s="1" t="s">
        <v>14</v>
      </c>
      <c r="H635" s="7">
        <f t="shared" ref="H635:I635" si="636">DATE(MID(D635,7,4), MID(D635,4,2), LEFT(D635,2)) + TIMEVALUE(MID(D635,12,5))
</f>
        <v>46081.83333</v>
      </c>
      <c r="I635" s="7">
        <f t="shared" si="636"/>
        <v>46082.375</v>
      </c>
      <c r="J635" s="4">
        <f t="shared" si="3"/>
        <v>13</v>
      </c>
      <c r="K635" s="4" t="str">
        <f t="shared" si="4"/>
        <v>Within SLA</v>
      </c>
    </row>
    <row r="636">
      <c r="A636" s="1" t="s">
        <v>1208</v>
      </c>
      <c r="B636" s="1" t="s">
        <v>34</v>
      </c>
      <c r="C636" s="1" t="s">
        <v>35</v>
      </c>
      <c r="D636" s="6" t="s">
        <v>592</v>
      </c>
      <c r="E636" s="6" t="s">
        <v>1209</v>
      </c>
      <c r="F636" s="6">
        <v>48.0</v>
      </c>
      <c r="G636" s="1" t="s">
        <v>14</v>
      </c>
      <c r="H636" s="7">
        <f t="shared" ref="H636:I636" si="637">DATE(MID(D636,7,4), MID(D636,4,2), LEFT(D636,2)) + TIMEVALUE(MID(D636,12,5))
</f>
        <v>46050.875</v>
      </c>
      <c r="I636" s="7">
        <f t="shared" si="637"/>
        <v>46053.08333</v>
      </c>
      <c r="J636" s="4">
        <f t="shared" si="3"/>
        <v>53</v>
      </c>
      <c r="K636" s="4" t="str">
        <f t="shared" si="4"/>
        <v>Breached</v>
      </c>
    </row>
    <row r="637">
      <c r="A637" s="1" t="s">
        <v>1210</v>
      </c>
      <c r="B637" s="1" t="s">
        <v>34</v>
      </c>
      <c r="C637" s="1" t="s">
        <v>35</v>
      </c>
      <c r="D637" s="6" t="s">
        <v>39</v>
      </c>
      <c r="E637" s="6" t="s">
        <v>1211</v>
      </c>
      <c r="F637" s="6">
        <v>48.0</v>
      </c>
      <c r="G637" s="1" t="s">
        <v>14</v>
      </c>
      <c r="H637" s="7">
        <f t="shared" ref="H637:I637" si="638">DATE(MID(D637,7,4), MID(D637,4,2), LEFT(D637,2)) + TIMEVALUE(MID(D637,12,5))
</f>
        <v>46048.54167</v>
      </c>
      <c r="I637" s="7">
        <f t="shared" si="638"/>
        <v>46051.5</v>
      </c>
      <c r="J637" s="4">
        <f t="shared" si="3"/>
        <v>71</v>
      </c>
      <c r="K637" s="4" t="str">
        <f t="shared" si="4"/>
        <v>Breached</v>
      </c>
    </row>
    <row r="638">
      <c r="A638" s="1" t="s">
        <v>1212</v>
      </c>
      <c r="B638" s="1" t="s">
        <v>16</v>
      </c>
      <c r="C638" s="1" t="s">
        <v>12</v>
      </c>
      <c r="D638" s="6" t="s">
        <v>1213</v>
      </c>
      <c r="E638" s="6" t="s">
        <v>1214</v>
      </c>
      <c r="F638" s="6">
        <v>72.0</v>
      </c>
      <c r="G638" s="1" t="s">
        <v>14</v>
      </c>
      <c r="H638" s="7">
        <f t="shared" ref="H638:I638" si="639">DATE(MID(D638,7,4), MID(D638,4,2), LEFT(D638,2)) + TIMEVALUE(MID(D638,12,5))
</f>
        <v>46040.70833</v>
      </c>
      <c r="I638" s="7">
        <f t="shared" si="639"/>
        <v>46042.58333</v>
      </c>
      <c r="J638" s="4">
        <f t="shared" si="3"/>
        <v>45</v>
      </c>
      <c r="K638" s="4" t="str">
        <f t="shared" si="4"/>
        <v>Within SLA</v>
      </c>
    </row>
    <row r="639">
      <c r="A639" s="1" t="s">
        <v>1215</v>
      </c>
      <c r="B639" s="1" t="s">
        <v>11</v>
      </c>
      <c r="C639" s="1" t="s">
        <v>35</v>
      </c>
      <c r="D639" s="6" t="s">
        <v>36</v>
      </c>
      <c r="E639" s="6" t="s">
        <v>392</v>
      </c>
      <c r="F639" s="6">
        <v>48.0</v>
      </c>
      <c r="G639" s="1" t="s">
        <v>14</v>
      </c>
      <c r="H639" s="7">
        <f t="shared" ref="H639:I639" si="640">DATE(MID(D639,7,4), MID(D639,4,2), LEFT(D639,2)) + TIMEVALUE(MID(D639,12,5))
</f>
        <v>46037.41667</v>
      </c>
      <c r="I639" s="7">
        <f t="shared" si="640"/>
        <v>46041.375</v>
      </c>
      <c r="J639" s="4">
        <f t="shared" si="3"/>
        <v>95</v>
      </c>
      <c r="K639" s="4" t="str">
        <f t="shared" si="4"/>
        <v>Breached</v>
      </c>
    </row>
    <row r="640">
      <c r="A640" s="1" t="s">
        <v>1216</v>
      </c>
      <c r="B640" s="1" t="s">
        <v>18</v>
      </c>
      <c r="C640" s="1" t="s">
        <v>19</v>
      </c>
      <c r="D640" s="6" t="s">
        <v>603</v>
      </c>
      <c r="E640" s="6" t="s">
        <v>391</v>
      </c>
      <c r="F640" s="6">
        <v>24.0</v>
      </c>
      <c r="G640" s="1" t="s">
        <v>14</v>
      </c>
      <c r="H640" s="7">
        <f t="shared" ref="H640:I640" si="641">DATE(MID(D640,7,4), MID(D640,4,2), LEFT(D640,2)) + TIMEVALUE(MID(D640,12,5))
</f>
        <v>46036.66667</v>
      </c>
      <c r="I640" s="7">
        <f t="shared" si="641"/>
        <v>46039.41667</v>
      </c>
      <c r="J640" s="4">
        <f t="shared" si="3"/>
        <v>66</v>
      </c>
      <c r="K640" s="4" t="str">
        <f t="shared" si="4"/>
        <v>Breached</v>
      </c>
    </row>
    <row r="641">
      <c r="A641" s="1" t="s">
        <v>1217</v>
      </c>
      <c r="B641" s="1" t="s">
        <v>34</v>
      </c>
      <c r="C641" s="1" t="s">
        <v>19</v>
      </c>
      <c r="D641" s="5">
        <v>46115.75</v>
      </c>
      <c r="E641" s="5">
        <v>46206.583333333336</v>
      </c>
      <c r="F641" s="6">
        <v>24.0</v>
      </c>
      <c r="G641" s="1" t="s">
        <v>14</v>
      </c>
      <c r="H641" s="7">
        <f t="shared" ref="H641:I641" si="642">DATE(MID(D641,7,4), MID(D641,4,2), LEFT(D641,2)) + TIMEVALUE(MID(D641,12,5))
</f>
        <v>46085.75</v>
      </c>
      <c r="I641" s="7">
        <f t="shared" si="642"/>
        <v>46088.58333</v>
      </c>
      <c r="J641" s="4">
        <f t="shared" si="3"/>
        <v>68</v>
      </c>
      <c r="K641" s="4" t="str">
        <f t="shared" si="4"/>
        <v>Breached</v>
      </c>
    </row>
    <row r="642">
      <c r="A642" s="1" t="s">
        <v>1218</v>
      </c>
      <c r="B642" s="1" t="s">
        <v>18</v>
      </c>
      <c r="C642" s="1" t="s">
        <v>12</v>
      </c>
      <c r="D642" s="5">
        <v>46267.375</v>
      </c>
      <c r="E642" s="5">
        <v>46297.833333333336</v>
      </c>
      <c r="F642" s="6">
        <v>72.0</v>
      </c>
      <c r="G642" s="1" t="s">
        <v>14</v>
      </c>
      <c r="H642" s="7">
        <f t="shared" ref="H642:I642" si="643">DATE(MID(D642,7,4), MID(D642,4,2), LEFT(D642,2)) + TIMEVALUE(MID(D642,12,5))
</f>
        <v>46062.375</v>
      </c>
      <c r="I642" s="7">
        <f t="shared" si="643"/>
        <v>46063.83333</v>
      </c>
      <c r="J642" s="4">
        <f t="shared" si="3"/>
        <v>35</v>
      </c>
      <c r="K642" s="4" t="str">
        <f t="shared" si="4"/>
        <v>Within SLA</v>
      </c>
    </row>
    <row r="643">
      <c r="A643" s="1" t="s">
        <v>1219</v>
      </c>
      <c r="B643" s="1" t="s">
        <v>16</v>
      </c>
      <c r="C643" s="1" t="s">
        <v>12</v>
      </c>
      <c r="D643" s="6" t="s">
        <v>1095</v>
      </c>
      <c r="E643" s="6" t="s">
        <v>1220</v>
      </c>
      <c r="F643" s="6">
        <v>72.0</v>
      </c>
      <c r="G643" s="1" t="s">
        <v>14</v>
      </c>
      <c r="H643" s="7">
        <f t="shared" ref="H643:I643" si="644">DATE(MID(D643,7,4), MID(D643,4,2), LEFT(D643,2)) + TIMEVALUE(MID(D643,12,5))
</f>
        <v>46035.5</v>
      </c>
      <c r="I643" s="7">
        <f t="shared" si="644"/>
        <v>46037.625</v>
      </c>
      <c r="J643" s="4">
        <f t="shared" si="3"/>
        <v>51</v>
      </c>
      <c r="K643" s="4" t="str">
        <f t="shared" si="4"/>
        <v>Within SLA</v>
      </c>
    </row>
    <row r="644">
      <c r="A644" s="1" t="s">
        <v>1221</v>
      </c>
      <c r="B644" s="1" t="s">
        <v>18</v>
      </c>
      <c r="C644" s="1" t="s">
        <v>19</v>
      </c>
      <c r="D644" s="5">
        <v>46204.875</v>
      </c>
      <c r="E644" s="5">
        <v>46327.375</v>
      </c>
      <c r="F644" s="6">
        <v>24.0</v>
      </c>
      <c r="G644" s="1" t="s">
        <v>14</v>
      </c>
      <c r="H644" s="7">
        <f t="shared" ref="H644:I644" si="645">DATE(MID(D644,7,4), MID(D644,4,2), LEFT(D644,2)) + TIMEVALUE(MID(D644,12,5))
</f>
        <v>46029.875</v>
      </c>
      <c r="I644" s="7">
        <f t="shared" si="645"/>
        <v>46033.375</v>
      </c>
      <c r="J644" s="4">
        <f t="shared" si="3"/>
        <v>84</v>
      </c>
      <c r="K644" s="4" t="str">
        <f t="shared" si="4"/>
        <v>Breached</v>
      </c>
    </row>
    <row r="645">
      <c r="A645" s="1" t="s">
        <v>1222</v>
      </c>
      <c r="B645" s="1" t="s">
        <v>16</v>
      </c>
      <c r="C645" s="1" t="s">
        <v>12</v>
      </c>
      <c r="D645" s="6" t="s">
        <v>342</v>
      </c>
      <c r="E645" s="6" t="s">
        <v>1223</v>
      </c>
      <c r="F645" s="6">
        <v>72.0</v>
      </c>
      <c r="G645" s="1" t="s">
        <v>14</v>
      </c>
      <c r="H645" s="7">
        <f t="shared" ref="H645:I645" si="646">DATE(MID(D645,7,4), MID(D645,4,2), LEFT(D645,2)) + TIMEVALUE(MID(D645,12,5))
</f>
        <v>46038.25</v>
      </c>
      <c r="I645" s="7">
        <f t="shared" si="646"/>
        <v>46039</v>
      </c>
      <c r="J645" s="4">
        <f t="shared" si="3"/>
        <v>18</v>
      </c>
      <c r="K645" s="4" t="str">
        <f t="shared" si="4"/>
        <v>Within SLA</v>
      </c>
    </row>
    <row r="646">
      <c r="A646" s="1" t="s">
        <v>1224</v>
      </c>
      <c r="B646" s="1" t="s">
        <v>16</v>
      </c>
      <c r="C646" s="1" t="s">
        <v>35</v>
      </c>
      <c r="D646" s="5">
        <v>46359.791666666664</v>
      </c>
      <c r="E646" s="6" t="s">
        <v>164</v>
      </c>
      <c r="F646" s="6">
        <v>48.0</v>
      </c>
      <c r="G646" s="1" t="s">
        <v>14</v>
      </c>
      <c r="H646" s="7">
        <f t="shared" ref="H646:I646" si="647">DATE(MID(D646,7,4), MID(D646,4,2), LEFT(D646,2)) + TIMEVALUE(MID(D646,12,5))
</f>
        <v>46093.79167</v>
      </c>
      <c r="I646" s="7">
        <f t="shared" si="647"/>
        <v>46097.04167</v>
      </c>
      <c r="J646" s="4">
        <f t="shared" si="3"/>
        <v>78</v>
      </c>
      <c r="K646" s="4" t="str">
        <f t="shared" si="4"/>
        <v>Breached</v>
      </c>
    </row>
    <row r="647">
      <c r="A647" s="1" t="s">
        <v>1225</v>
      </c>
      <c r="B647" s="1" t="s">
        <v>18</v>
      </c>
      <c r="C647" s="1" t="s">
        <v>35</v>
      </c>
      <c r="D647" s="5">
        <v>46024.0</v>
      </c>
      <c r="E647" s="5">
        <v>46055.666666666664</v>
      </c>
      <c r="F647" s="6">
        <v>48.0</v>
      </c>
      <c r="G647" s="1" t="s">
        <v>14</v>
      </c>
      <c r="H647" s="7">
        <f t="shared" ref="H647:I647" si="648">DATE(MID(D647,7,4), MID(D647,4,2), LEFT(D647,2)) + TIMEVALUE(MID(D647,12,5))
</f>
        <v>46054</v>
      </c>
      <c r="I647" s="7">
        <f t="shared" si="648"/>
        <v>46055.66667</v>
      </c>
      <c r="J647" s="4">
        <f t="shared" si="3"/>
        <v>40</v>
      </c>
      <c r="K647" s="4" t="str">
        <f t="shared" si="4"/>
        <v>Within SLA</v>
      </c>
    </row>
    <row r="648">
      <c r="A648" s="1" t="s">
        <v>1226</v>
      </c>
      <c r="B648" s="1" t="s">
        <v>18</v>
      </c>
      <c r="C648" s="1" t="s">
        <v>35</v>
      </c>
      <c r="D648" s="5">
        <v>46205.75</v>
      </c>
      <c r="E648" s="5">
        <v>46267.041666666664</v>
      </c>
      <c r="F648" s="6">
        <v>48.0</v>
      </c>
      <c r="G648" s="1" t="s">
        <v>14</v>
      </c>
      <c r="H648" s="7">
        <f t="shared" ref="H648:I648" si="649">DATE(MID(D648,7,4), MID(D648,4,2), LEFT(D648,2)) + TIMEVALUE(MID(D648,12,5))
</f>
        <v>46060.75</v>
      </c>
      <c r="I648" s="7">
        <f t="shared" si="649"/>
        <v>46062.04167</v>
      </c>
      <c r="J648" s="4">
        <f t="shared" si="3"/>
        <v>31</v>
      </c>
      <c r="K648" s="4" t="str">
        <f t="shared" si="4"/>
        <v>Within SLA</v>
      </c>
    </row>
    <row r="649">
      <c r="A649" s="1" t="s">
        <v>1227</v>
      </c>
      <c r="B649" s="1" t="s">
        <v>18</v>
      </c>
      <c r="C649" s="1" t="s">
        <v>12</v>
      </c>
      <c r="D649" s="6" t="s">
        <v>1228</v>
      </c>
      <c r="E649" s="6" t="s">
        <v>1229</v>
      </c>
      <c r="F649" s="6">
        <v>72.0</v>
      </c>
      <c r="G649" s="1" t="s">
        <v>14</v>
      </c>
      <c r="H649" s="7">
        <f t="shared" ref="H649:I649" si="650">DATE(MID(D649,7,4), MID(D649,4,2), LEFT(D649,2)) + TIMEVALUE(MID(D649,12,5))
</f>
        <v>46101.625</v>
      </c>
      <c r="I649" s="7">
        <f t="shared" si="650"/>
        <v>46105.125</v>
      </c>
      <c r="J649" s="4">
        <f t="shared" si="3"/>
        <v>84</v>
      </c>
      <c r="K649" s="4" t="str">
        <f t="shared" si="4"/>
        <v>Breached</v>
      </c>
    </row>
    <row r="650">
      <c r="A650" s="1" t="s">
        <v>1230</v>
      </c>
      <c r="B650" s="1" t="s">
        <v>23</v>
      </c>
      <c r="C650" s="1" t="s">
        <v>12</v>
      </c>
      <c r="D650" s="5">
        <v>46114.458333333336</v>
      </c>
      <c r="E650" s="5">
        <v>46205.166666666664</v>
      </c>
      <c r="F650" s="6">
        <v>72.0</v>
      </c>
      <c r="G650" s="1" t="s">
        <v>14</v>
      </c>
      <c r="H650" s="7">
        <f t="shared" ref="H650:I650" si="651">DATE(MID(D650,7,4), MID(D650,4,2), LEFT(D650,2)) + TIMEVALUE(MID(D650,12,5))
</f>
        <v>46057.45833</v>
      </c>
      <c r="I650" s="7">
        <f t="shared" si="651"/>
        <v>46060.16667</v>
      </c>
      <c r="J650" s="4">
        <f t="shared" si="3"/>
        <v>65</v>
      </c>
      <c r="K650" s="4" t="str">
        <f t="shared" si="4"/>
        <v>Within SLA</v>
      </c>
    </row>
    <row r="651">
      <c r="A651" s="1" t="s">
        <v>1231</v>
      </c>
      <c r="B651" s="1" t="s">
        <v>11</v>
      </c>
      <c r="C651" s="1" t="s">
        <v>19</v>
      </c>
      <c r="D651" s="6" t="s">
        <v>1232</v>
      </c>
      <c r="E651" s="6" t="s">
        <v>386</v>
      </c>
      <c r="F651" s="6">
        <v>24.0</v>
      </c>
      <c r="G651" s="1" t="s">
        <v>14</v>
      </c>
      <c r="H651" s="7">
        <f t="shared" ref="H651:I651" si="652">DATE(MID(D651,7,4), MID(D651,4,2), LEFT(D651,2)) + TIMEVALUE(MID(D651,12,5))
</f>
        <v>46100.875</v>
      </c>
      <c r="I651" s="7">
        <f t="shared" si="652"/>
        <v>46104.125</v>
      </c>
      <c r="J651" s="4">
        <f t="shared" si="3"/>
        <v>78</v>
      </c>
      <c r="K651" s="4" t="str">
        <f t="shared" si="4"/>
        <v>Breached</v>
      </c>
    </row>
    <row r="652">
      <c r="A652" s="1" t="s">
        <v>1233</v>
      </c>
      <c r="B652" s="1" t="s">
        <v>23</v>
      </c>
      <c r="C652" s="1" t="s">
        <v>19</v>
      </c>
      <c r="D652" s="5">
        <v>46359.458333333336</v>
      </c>
      <c r="E652" s="6" t="s">
        <v>264</v>
      </c>
      <c r="F652" s="6">
        <v>24.0</v>
      </c>
      <c r="G652" s="1" t="s">
        <v>14</v>
      </c>
      <c r="H652" s="7">
        <f t="shared" ref="H652:I652" si="653">DATE(MID(D652,7,4), MID(D652,4,2), LEFT(D652,2)) + TIMEVALUE(MID(D652,12,5))
</f>
        <v>46093.45833</v>
      </c>
      <c r="I652" s="7">
        <f t="shared" si="653"/>
        <v>46094.66667</v>
      </c>
      <c r="J652" s="4">
        <f t="shared" si="3"/>
        <v>29</v>
      </c>
      <c r="K652" s="4" t="str">
        <f t="shared" si="4"/>
        <v>Breached</v>
      </c>
    </row>
    <row r="653">
      <c r="A653" s="1" t="s">
        <v>1234</v>
      </c>
      <c r="B653" s="1" t="s">
        <v>23</v>
      </c>
      <c r="C653" s="1" t="s">
        <v>35</v>
      </c>
      <c r="D653" s="6" t="s">
        <v>234</v>
      </c>
      <c r="E653" s="6" t="s">
        <v>1235</v>
      </c>
      <c r="F653" s="6">
        <v>48.0</v>
      </c>
      <c r="G653" s="1" t="s">
        <v>14</v>
      </c>
      <c r="H653" s="7">
        <f t="shared" ref="H653:I653" si="654">DATE(MID(D653,7,4), MID(D653,4,2), LEFT(D653,2)) + TIMEVALUE(MID(D653,12,5))
</f>
        <v>46048.5</v>
      </c>
      <c r="I653" s="7">
        <f t="shared" si="654"/>
        <v>46049.54167</v>
      </c>
      <c r="J653" s="4">
        <f t="shared" si="3"/>
        <v>25</v>
      </c>
      <c r="K653" s="4" t="str">
        <f t="shared" si="4"/>
        <v>Within SLA</v>
      </c>
    </row>
    <row r="654">
      <c r="A654" s="1" t="s">
        <v>1236</v>
      </c>
      <c r="B654" s="1" t="s">
        <v>11</v>
      </c>
      <c r="C654" s="1" t="s">
        <v>35</v>
      </c>
      <c r="D654" s="5">
        <v>46236.25</v>
      </c>
      <c r="E654" s="5">
        <v>46267.208333333336</v>
      </c>
      <c r="F654" s="6">
        <v>48.0</v>
      </c>
      <c r="G654" s="1" t="s">
        <v>14</v>
      </c>
      <c r="H654" s="7">
        <f t="shared" ref="H654:I654" si="655">DATE(MID(D654,7,4), MID(D654,4,2), LEFT(D654,2)) + TIMEVALUE(MID(D654,12,5))
</f>
        <v>46061.25</v>
      </c>
      <c r="I654" s="7">
        <f t="shared" si="655"/>
        <v>46062.20833</v>
      </c>
      <c r="J654" s="4">
        <f t="shared" si="3"/>
        <v>23</v>
      </c>
      <c r="K654" s="4" t="str">
        <f t="shared" si="4"/>
        <v>Within SLA</v>
      </c>
    </row>
    <row r="655">
      <c r="A655" s="1" t="s">
        <v>1237</v>
      </c>
      <c r="B655" s="1" t="s">
        <v>18</v>
      </c>
      <c r="C655" s="1" t="s">
        <v>19</v>
      </c>
      <c r="D655" s="5">
        <v>46237.625</v>
      </c>
      <c r="E655" s="5">
        <v>46268.166666666664</v>
      </c>
      <c r="F655" s="6">
        <v>24.0</v>
      </c>
      <c r="G655" s="1" t="s">
        <v>14</v>
      </c>
      <c r="H655" s="7">
        <f t="shared" ref="H655:I655" si="656">DATE(MID(D655,7,4), MID(D655,4,2), LEFT(D655,2)) + TIMEVALUE(MID(D655,12,5))
</f>
        <v>46089.625</v>
      </c>
      <c r="I655" s="7">
        <f t="shared" si="656"/>
        <v>46090.16667</v>
      </c>
      <c r="J655" s="4">
        <f t="shared" si="3"/>
        <v>13</v>
      </c>
      <c r="K655" s="4" t="str">
        <f t="shared" si="4"/>
        <v>Within SLA</v>
      </c>
    </row>
    <row r="656">
      <c r="A656" s="1" t="s">
        <v>1238</v>
      </c>
      <c r="B656" s="1" t="s">
        <v>18</v>
      </c>
      <c r="C656" s="1" t="s">
        <v>12</v>
      </c>
      <c r="D656" s="6" t="s">
        <v>1239</v>
      </c>
      <c r="E656" s="6" t="s">
        <v>331</v>
      </c>
      <c r="F656" s="6">
        <v>72.0</v>
      </c>
      <c r="G656" s="1" t="s">
        <v>14</v>
      </c>
      <c r="H656" s="7">
        <f t="shared" ref="H656:I656" si="657">DATE(MID(D656,7,4), MID(D656,4,2), LEFT(D656,2)) + TIMEVALUE(MID(D656,12,5))
</f>
        <v>46050.33333</v>
      </c>
      <c r="I656" s="7">
        <f t="shared" si="657"/>
        <v>46052.66667</v>
      </c>
      <c r="J656" s="4">
        <f t="shared" si="3"/>
        <v>56</v>
      </c>
      <c r="K656" s="4" t="str">
        <f t="shared" si="4"/>
        <v>Within SLA</v>
      </c>
    </row>
    <row r="657">
      <c r="A657" s="1" t="s">
        <v>1240</v>
      </c>
      <c r="B657" s="1" t="s">
        <v>18</v>
      </c>
      <c r="C657" s="1" t="s">
        <v>12</v>
      </c>
      <c r="D657" s="6" t="s">
        <v>320</v>
      </c>
      <c r="E657" s="6" t="s">
        <v>442</v>
      </c>
      <c r="F657" s="6">
        <v>72.0</v>
      </c>
      <c r="G657" s="1" t="s">
        <v>14</v>
      </c>
      <c r="H657" s="7">
        <f t="shared" ref="H657:I657" si="658">DATE(MID(D657,7,4), MID(D657,4,2), LEFT(D657,2)) + TIMEVALUE(MID(D657,12,5))
</f>
        <v>46035.70833</v>
      </c>
      <c r="I657" s="7">
        <f t="shared" si="658"/>
        <v>46037</v>
      </c>
      <c r="J657" s="4">
        <f t="shared" si="3"/>
        <v>31</v>
      </c>
      <c r="K657" s="4" t="str">
        <f t="shared" si="4"/>
        <v>Within SLA</v>
      </c>
    </row>
    <row r="658">
      <c r="A658" s="1" t="s">
        <v>1241</v>
      </c>
      <c r="B658" s="1" t="s">
        <v>16</v>
      </c>
      <c r="C658" s="1" t="s">
        <v>19</v>
      </c>
      <c r="D658" s="5">
        <v>46176.791666666664</v>
      </c>
      <c r="E658" s="5">
        <v>46298.416666666664</v>
      </c>
      <c r="F658" s="6">
        <v>24.0</v>
      </c>
      <c r="G658" s="1" t="s">
        <v>14</v>
      </c>
      <c r="H658" s="7">
        <f t="shared" ref="H658:I658" si="659">DATE(MID(D658,7,4), MID(D658,4,2), LEFT(D658,2)) + TIMEVALUE(MID(D658,12,5))
</f>
        <v>46087.79167</v>
      </c>
      <c r="I658" s="7">
        <f t="shared" si="659"/>
        <v>46091.41667</v>
      </c>
      <c r="J658" s="4">
        <f t="shared" si="3"/>
        <v>87</v>
      </c>
      <c r="K658" s="4" t="str">
        <f t="shared" si="4"/>
        <v>Breached</v>
      </c>
    </row>
    <row r="659">
      <c r="A659" s="1" t="s">
        <v>1242</v>
      </c>
      <c r="B659" s="1" t="s">
        <v>34</v>
      </c>
      <c r="C659" s="1" t="s">
        <v>19</v>
      </c>
      <c r="D659" s="6" t="s">
        <v>106</v>
      </c>
      <c r="E659" s="6" t="s">
        <v>1005</v>
      </c>
      <c r="F659" s="6">
        <v>24.0</v>
      </c>
      <c r="G659" s="1" t="s">
        <v>14</v>
      </c>
      <c r="H659" s="7">
        <f t="shared" ref="H659:I659" si="660">DATE(MID(D659,7,4), MID(D659,4,2), LEFT(D659,2)) + TIMEVALUE(MID(D659,12,5))
</f>
        <v>46102.33333</v>
      </c>
      <c r="I659" s="7">
        <f t="shared" si="660"/>
        <v>46103.41667</v>
      </c>
      <c r="J659" s="4">
        <f t="shared" si="3"/>
        <v>26</v>
      </c>
      <c r="K659" s="4" t="str">
        <f t="shared" si="4"/>
        <v>Breached</v>
      </c>
    </row>
    <row r="660">
      <c r="A660" s="1" t="s">
        <v>1243</v>
      </c>
      <c r="B660" s="1" t="s">
        <v>11</v>
      </c>
      <c r="C660" s="1" t="s">
        <v>19</v>
      </c>
      <c r="D660" s="6" t="s">
        <v>754</v>
      </c>
      <c r="E660" s="6" t="s">
        <v>26</v>
      </c>
      <c r="F660" s="6">
        <v>24.0</v>
      </c>
      <c r="G660" s="1" t="s">
        <v>14</v>
      </c>
      <c r="H660" s="7">
        <f t="shared" ref="H660:I660" si="661">DATE(MID(D660,7,4), MID(D660,4,2), LEFT(D660,2)) + TIMEVALUE(MID(D660,12,5))
</f>
        <v>46078</v>
      </c>
      <c r="I660" s="7">
        <f t="shared" si="661"/>
        <v>46081.08333</v>
      </c>
      <c r="J660" s="4">
        <f t="shared" si="3"/>
        <v>74</v>
      </c>
      <c r="K660" s="4" t="str">
        <f t="shared" si="4"/>
        <v>Breached</v>
      </c>
    </row>
    <row r="661">
      <c r="A661" s="1" t="s">
        <v>1244</v>
      </c>
      <c r="B661" s="1" t="s">
        <v>16</v>
      </c>
      <c r="C661" s="1" t="s">
        <v>35</v>
      </c>
      <c r="D661" s="6" t="s">
        <v>1245</v>
      </c>
      <c r="E661" s="6" t="s">
        <v>1246</v>
      </c>
      <c r="F661" s="6">
        <v>48.0</v>
      </c>
      <c r="G661" s="1" t="s">
        <v>14</v>
      </c>
      <c r="H661" s="7">
        <f t="shared" ref="H661:I661" si="662">DATE(MID(D661,7,4), MID(D661,4,2), LEFT(D661,2)) + TIMEVALUE(MID(D661,12,5))
</f>
        <v>46046.41667</v>
      </c>
      <c r="I661" s="7">
        <f t="shared" si="662"/>
        <v>46047.91667</v>
      </c>
      <c r="J661" s="4">
        <f t="shared" si="3"/>
        <v>36</v>
      </c>
      <c r="K661" s="4" t="str">
        <f t="shared" si="4"/>
        <v>Within SLA</v>
      </c>
    </row>
    <row r="662">
      <c r="A662" s="1" t="s">
        <v>1247</v>
      </c>
      <c r="B662" s="1" t="s">
        <v>18</v>
      </c>
      <c r="C662" s="1" t="s">
        <v>19</v>
      </c>
      <c r="D662" s="5">
        <v>46176.916666666664</v>
      </c>
      <c r="E662" s="5">
        <v>46206.625</v>
      </c>
      <c r="F662" s="6">
        <v>24.0</v>
      </c>
      <c r="G662" s="1" t="s">
        <v>14</v>
      </c>
      <c r="H662" s="7">
        <f t="shared" ref="H662:I662" si="663">DATE(MID(D662,7,4), MID(D662,4,2), LEFT(D662,2)) + TIMEVALUE(MID(D662,12,5))
</f>
        <v>46087.91667</v>
      </c>
      <c r="I662" s="7">
        <f t="shared" si="663"/>
        <v>46088.625</v>
      </c>
      <c r="J662" s="4">
        <f t="shared" si="3"/>
        <v>17</v>
      </c>
      <c r="K662" s="4" t="str">
        <f t="shared" si="4"/>
        <v>Within SLA</v>
      </c>
    </row>
    <row r="663">
      <c r="A663" s="1" t="s">
        <v>1248</v>
      </c>
      <c r="B663" s="1" t="s">
        <v>11</v>
      </c>
      <c r="C663" s="1" t="s">
        <v>35</v>
      </c>
      <c r="D663" s="6" t="s">
        <v>1013</v>
      </c>
      <c r="E663" s="6" t="s">
        <v>787</v>
      </c>
      <c r="F663" s="6">
        <v>48.0</v>
      </c>
      <c r="G663" s="1" t="s">
        <v>14</v>
      </c>
      <c r="H663" s="7">
        <f t="shared" ref="H663:I663" si="664">DATE(MID(D663,7,4), MID(D663,4,2), LEFT(D663,2)) + TIMEVALUE(MID(D663,12,5))
</f>
        <v>46105.5</v>
      </c>
      <c r="I663" s="7">
        <f t="shared" si="664"/>
        <v>46107.04167</v>
      </c>
      <c r="J663" s="4">
        <f t="shared" si="3"/>
        <v>37</v>
      </c>
      <c r="K663" s="4" t="str">
        <f t="shared" si="4"/>
        <v>Within SLA</v>
      </c>
    </row>
    <row r="664">
      <c r="A664" s="1" t="s">
        <v>1249</v>
      </c>
      <c r="B664" s="1" t="s">
        <v>34</v>
      </c>
      <c r="C664" s="1" t="s">
        <v>12</v>
      </c>
      <c r="D664" s="6" t="s">
        <v>1250</v>
      </c>
      <c r="E664" s="6" t="s">
        <v>910</v>
      </c>
      <c r="F664" s="6">
        <v>72.0</v>
      </c>
      <c r="G664" s="1" t="s">
        <v>14</v>
      </c>
      <c r="H664" s="7">
        <f t="shared" ref="H664:I664" si="665">DATE(MID(D664,7,4), MID(D664,4,2), LEFT(D664,2)) + TIMEVALUE(MID(D664,12,5))
</f>
        <v>46067.83333</v>
      </c>
      <c r="I664" s="7">
        <f t="shared" si="665"/>
        <v>46068.33333</v>
      </c>
      <c r="J664" s="4">
        <f t="shared" si="3"/>
        <v>12</v>
      </c>
      <c r="K664" s="4" t="str">
        <f t="shared" si="4"/>
        <v>Within SLA</v>
      </c>
    </row>
    <row r="665">
      <c r="A665" s="1" t="s">
        <v>1251</v>
      </c>
      <c r="B665" s="1" t="s">
        <v>11</v>
      </c>
      <c r="C665" s="1" t="s">
        <v>19</v>
      </c>
      <c r="D665" s="6" t="s">
        <v>723</v>
      </c>
      <c r="E665" s="5">
        <v>46055.583333333336</v>
      </c>
      <c r="F665" s="6">
        <v>24.0</v>
      </c>
      <c r="G665" s="1" t="s">
        <v>14</v>
      </c>
      <c r="H665" s="7">
        <f t="shared" ref="H665:I665" si="666">DATE(MID(D665,7,4), MID(D665,4,2), LEFT(D665,2)) + TIMEVALUE(MID(D665,12,5))
</f>
        <v>46052.16667</v>
      </c>
      <c r="I665" s="7">
        <f t="shared" si="666"/>
        <v>46055.58333</v>
      </c>
      <c r="J665" s="4">
        <f t="shared" si="3"/>
        <v>82</v>
      </c>
      <c r="K665" s="4" t="str">
        <f t="shared" si="4"/>
        <v>Breached</v>
      </c>
    </row>
    <row r="666">
      <c r="A666" s="1" t="s">
        <v>1252</v>
      </c>
      <c r="B666" s="1" t="s">
        <v>23</v>
      </c>
      <c r="C666" s="1" t="s">
        <v>12</v>
      </c>
      <c r="D666" s="6" t="s">
        <v>1253</v>
      </c>
      <c r="E666" s="6" t="s">
        <v>1254</v>
      </c>
      <c r="F666" s="6">
        <v>72.0</v>
      </c>
      <c r="G666" s="1" t="s">
        <v>14</v>
      </c>
      <c r="H666" s="7">
        <f t="shared" ref="H666:I666" si="667">DATE(MID(D666,7,4), MID(D666,4,2), LEFT(D666,2)) + TIMEVALUE(MID(D666,12,5))
</f>
        <v>46066.79167</v>
      </c>
      <c r="I666" s="7">
        <f t="shared" si="667"/>
        <v>46070.08333</v>
      </c>
      <c r="J666" s="4">
        <f t="shared" si="3"/>
        <v>79</v>
      </c>
      <c r="K666" s="4" t="str">
        <f t="shared" si="4"/>
        <v>Breached</v>
      </c>
    </row>
    <row r="667">
      <c r="A667" s="1" t="s">
        <v>1255</v>
      </c>
      <c r="B667" s="1" t="s">
        <v>23</v>
      </c>
      <c r="C667" s="1" t="s">
        <v>35</v>
      </c>
      <c r="D667" s="5">
        <v>46266.625</v>
      </c>
      <c r="E667" s="5">
        <v>46296.458333333336</v>
      </c>
      <c r="F667" s="6">
        <v>48.0</v>
      </c>
      <c r="G667" s="1" t="s">
        <v>14</v>
      </c>
      <c r="H667" s="7">
        <f t="shared" ref="H667:I667" si="668">DATE(MID(D667,7,4), MID(D667,4,2), LEFT(D667,2)) + TIMEVALUE(MID(D667,12,5))
</f>
        <v>46031.625</v>
      </c>
      <c r="I667" s="7">
        <f t="shared" si="668"/>
        <v>46032.45833</v>
      </c>
      <c r="J667" s="4">
        <f t="shared" si="3"/>
        <v>20</v>
      </c>
      <c r="K667" s="4" t="str">
        <f t="shared" si="4"/>
        <v>Within SLA</v>
      </c>
    </row>
    <row r="668">
      <c r="A668" s="1" t="s">
        <v>1256</v>
      </c>
      <c r="B668" s="1" t="s">
        <v>34</v>
      </c>
      <c r="C668" s="1" t="s">
        <v>12</v>
      </c>
      <c r="D668" s="5">
        <v>46206.458333333336</v>
      </c>
      <c r="E668" s="5">
        <v>46268.958333333336</v>
      </c>
      <c r="F668" s="6">
        <v>72.0</v>
      </c>
      <c r="G668" s="1" t="s">
        <v>14</v>
      </c>
      <c r="H668" s="7">
        <f t="shared" ref="H668:I668" si="669">DATE(MID(D668,7,4), MID(D668,4,2), LEFT(D668,2)) + TIMEVALUE(MID(D668,12,5))
</f>
        <v>46088.45833</v>
      </c>
      <c r="I668" s="7">
        <f t="shared" si="669"/>
        <v>46090.95833</v>
      </c>
      <c r="J668" s="4">
        <f t="shared" si="3"/>
        <v>60</v>
      </c>
      <c r="K668" s="4" t="str">
        <f t="shared" si="4"/>
        <v>Within SLA</v>
      </c>
    </row>
    <row r="669">
      <c r="A669" s="1" t="s">
        <v>1257</v>
      </c>
      <c r="B669" s="1" t="s">
        <v>34</v>
      </c>
      <c r="C669" s="1" t="s">
        <v>35</v>
      </c>
      <c r="D669" s="6" t="s">
        <v>1258</v>
      </c>
      <c r="E669" s="6" t="s">
        <v>1259</v>
      </c>
      <c r="F669" s="6">
        <v>48.0</v>
      </c>
      <c r="G669" s="1" t="s">
        <v>14</v>
      </c>
      <c r="H669" s="7">
        <f t="shared" ref="H669:I669" si="670">DATE(MID(D669,7,4), MID(D669,4,2), LEFT(D669,2)) + TIMEVALUE(MID(D669,12,5))
</f>
        <v>46104.16667</v>
      </c>
      <c r="I669" s="7">
        <f t="shared" si="670"/>
        <v>46107.95833</v>
      </c>
      <c r="J669" s="4">
        <f t="shared" si="3"/>
        <v>91</v>
      </c>
      <c r="K669" s="4" t="str">
        <f t="shared" si="4"/>
        <v>Breached</v>
      </c>
    </row>
    <row r="670">
      <c r="A670" s="1" t="s">
        <v>1260</v>
      </c>
      <c r="B670" s="1" t="s">
        <v>23</v>
      </c>
      <c r="C670" s="1" t="s">
        <v>19</v>
      </c>
      <c r="D670" s="6" t="s">
        <v>874</v>
      </c>
      <c r="E670" s="5">
        <v>46084.333333333336</v>
      </c>
      <c r="F670" s="6">
        <v>24.0</v>
      </c>
      <c r="G670" s="1" t="s">
        <v>14</v>
      </c>
      <c r="H670" s="7">
        <f t="shared" ref="H670:I670" si="671">DATE(MID(D670,7,4), MID(D670,4,2), LEFT(D670,2)) + TIMEVALUE(MID(D670,12,5))
</f>
        <v>46081.04167</v>
      </c>
      <c r="I670" s="7">
        <f t="shared" si="671"/>
        <v>46084.33333</v>
      </c>
      <c r="J670" s="4">
        <f t="shared" si="3"/>
        <v>79</v>
      </c>
      <c r="K670" s="4" t="str">
        <f t="shared" si="4"/>
        <v>Breached</v>
      </c>
    </row>
    <row r="671">
      <c r="A671" s="1" t="s">
        <v>1261</v>
      </c>
      <c r="B671" s="1" t="s">
        <v>11</v>
      </c>
      <c r="C671" s="1" t="s">
        <v>35</v>
      </c>
      <c r="D671" s="5">
        <v>46145.625</v>
      </c>
      <c r="E671" s="5">
        <v>46176.416666666664</v>
      </c>
      <c r="F671" s="6">
        <v>48.0</v>
      </c>
      <c r="G671" s="1" t="s">
        <v>14</v>
      </c>
      <c r="H671" s="7">
        <f t="shared" ref="H671:I671" si="672">DATE(MID(D671,7,4), MID(D671,4,2), LEFT(D671,2)) + TIMEVALUE(MID(D671,12,5))
</f>
        <v>46086.625</v>
      </c>
      <c r="I671" s="7">
        <f t="shared" si="672"/>
        <v>46087.41667</v>
      </c>
      <c r="J671" s="4">
        <f t="shared" si="3"/>
        <v>19</v>
      </c>
      <c r="K671" s="4" t="str">
        <f t="shared" si="4"/>
        <v>Within SLA</v>
      </c>
    </row>
    <row r="672">
      <c r="A672" s="1" t="s">
        <v>1262</v>
      </c>
      <c r="B672" s="1" t="s">
        <v>11</v>
      </c>
      <c r="C672" s="1" t="s">
        <v>35</v>
      </c>
      <c r="D672" s="5">
        <v>46174.125</v>
      </c>
      <c r="E672" s="5">
        <v>46266.375</v>
      </c>
      <c r="F672" s="6">
        <v>48.0</v>
      </c>
      <c r="G672" s="1" t="s">
        <v>14</v>
      </c>
      <c r="H672" s="7">
        <f t="shared" ref="H672:I672" si="673">DATE(MID(D672,7,4), MID(D672,4,2), LEFT(D672,2)) + TIMEVALUE(MID(D672,12,5))
</f>
        <v>46028.125</v>
      </c>
      <c r="I672" s="7">
        <f t="shared" si="673"/>
        <v>46031.375</v>
      </c>
      <c r="J672" s="4">
        <f t="shared" si="3"/>
        <v>78</v>
      </c>
      <c r="K672" s="4" t="str">
        <f t="shared" si="4"/>
        <v>Breached</v>
      </c>
    </row>
    <row r="673">
      <c r="A673" s="1" t="s">
        <v>1263</v>
      </c>
      <c r="B673" s="1" t="s">
        <v>34</v>
      </c>
      <c r="C673" s="1" t="s">
        <v>19</v>
      </c>
      <c r="D673" s="5">
        <v>46268.125</v>
      </c>
      <c r="E673" s="5">
        <v>46329.166666666664</v>
      </c>
      <c r="F673" s="6">
        <v>24.0</v>
      </c>
      <c r="G673" s="1" t="s">
        <v>14</v>
      </c>
      <c r="H673" s="7">
        <f t="shared" ref="H673:I673" si="674">DATE(MID(D673,7,4), MID(D673,4,2), LEFT(D673,2)) + TIMEVALUE(MID(D673,12,5))
</f>
        <v>46090.125</v>
      </c>
      <c r="I673" s="7">
        <f t="shared" si="674"/>
        <v>46092.16667</v>
      </c>
      <c r="J673" s="4">
        <f t="shared" si="3"/>
        <v>49</v>
      </c>
      <c r="K673" s="4" t="str">
        <f t="shared" si="4"/>
        <v>Breached</v>
      </c>
    </row>
    <row r="674">
      <c r="A674" s="1" t="s">
        <v>1264</v>
      </c>
      <c r="B674" s="1" t="s">
        <v>34</v>
      </c>
      <c r="C674" s="1" t="s">
        <v>12</v>
      </c>
      <c r="D674" s="5">
        <v>46327.791666666664</v>
      </c>
      <c r="E674" s="6" t="s">
        <v>1016</v>
      </c>
      <c r="F674" s="6">
        <v>72.0</v>
      </c>
      <c r="G674" s="1" t="s">
        <v>14</v>
      </c>
      <c r="H674" s="7">
        <f t="shared" ref="H674:I674" si="675">DATE(MID(D674,7,4), MID(D674,4,2), LEFT(D674,2)) + TIMEVALUE(MID(D674,12,5))
</f>
        <v>46033.79167</v>
      </c>
      <c r="I674" s="7">
        <f t="shared" si="675"/>
        <v>46035.79167</v>
      </c>
      <c r="J674" s="4">
        <f t="shared" si="3"/>
        <v>48</v>
      </c>
      <c r="K674" s="4" t="str">
        <f t="shared" si="4"/>
        <v>Within SLA</v>
      </c>
    </row>
    <row r="675">
      <c r="A675" s="1" t="s">
        <v>1265</v>
      </c>
      <c r="B675" s="1" t="s">
        <v>11</v>
      </c>
      <c r="C675" s="1" t="s">
        <v>19</v>
      </c>
      <c r="D675" s="6" t="s">
        <v>1266</v>
      </c>
      <c r="E675" s="6" t="s">
        <v>1267</v>
      </c>
      <c r="F675" s="6">
        <v>24.0</v>
      </c>
      <c r="G675" s="1" t="s">
        <v>14</v>
      </c>
      <c r="H675" s="7">
        <f t="shared" ref="H675:I675" si="676">DATE(MID(D675,7,4), MID(D675,4,2), LEFT(D675,2)) + TIMEVALUE(MID(D675,12,5))
</f>
        <v>46096.33333</v>
      </c>
      <c r="I675" s="7">
        <f t="shared" si="676"/>
        <v>46098.625</v>
      </c>
      <c r="J675" s="4">
        <f t="shared" si="3"/>
        <v>55</v>
      </c>
      <c r="K675" s="4" t="str">
        <f t="shared" si="4"/>
        <v>Breached</v>
      </c>
    </row>
    <row r="676">
      <c r="A676" s="1" t="s">
        <v>1268</v>
      </c>
      <c r="B676" s="1" t="s">
        <v>23</v>
      </c>
      <c r="C676" s="1" t="s">
        <v>12</v>
      </c>
      <c r="D676" s="6" t="s">
        <v>1269</v>
      </c>
      <c r="E676" s="6" t="s">
        <v>1270</v>
      </c>
      <c r="F676" s="6">
        <v>72.0</v>
      </c>
      <c r="G676" s="1" t="s">
        <v>14</v>
      </c>
      <c r="H676" s="7">
        <f t="shared" ref="H676:I676" si="677">DATE(MID(D676,7,4), MID(D676,4,2), LEFT(D676,2)) + TIMEVALUE(MID(D676,12,5))
</f>
        <v>46099.70833</v>
      </c>
      <c r="I676" s="7">
        <f t="shared" si="677"/>
        <v>46101.95833</v>
      </c>
      <c r="J676" s="4">
        <f t="shared" si="3"/>
        <v>54</v>
      </c>
      <c r="K676" s="4" t="str">
        <f t="shared" si="4"/>
        <v>Within SLA</v>
      </c>
    </row>
    <row r="677">
      <c r="A677" s="1" t="s">
        <v>1271</v>
      </c>
      <c r="B677" s="1" t="s">
        <v>18</v>
      </c>
      <c r="C677" s="1" t="s">
        <v>19</v>
      </c>
      <c r="D677" s="6" t="s">
        <v>1272</v>
      </c>
      <c r="E677" s="6" t="s">
        <v>167</v>
      </c>
      <c r="F677" s="6">
        <v>24.0</v>
      </c>
      <c r="G677" s="1" t="s">
        <v>14</v>
      </c>
      <c r="H677" s="7">
        <f t="shared" ref="H677:I677" si="678">DATE(MID(D677,7,4), MID(D677,4,2), LEFT(D677,2)) + TIMEVALUE(MID(D677,12,5))
</f>
        <v>46045.5</v>
      </c>
      <c r="I677" s="7">
        <f t="shared" si="678"/>
        <v>46049.08333</v>
      </c>
      <c r="J677" s="4">
        <f t="shared" si="3"/>
        <v>86</v>
      </c>
      <c r="K677" s="4" t="str">
        <f t="shared" si="4"/>
        <v>Breached</v>
      </c>
    </row>
    <row r="678">
      <c r="A678" s="1" t="s">
        <v>1273</v>
      </c>
      <c r="B678" s="1" t="s">
        <v>23</v>
      </c>
      <c r="C678" s="1" t="s">
        <v>12</v>
      </c>
      <c r="D678" s="5">
        <v>46056.958333333336</v>
      </c>
      <c r="E678" s="5">
        <v>46115.625</v>
      </c>
      <c r="F678" s="6">
        <v>72.0</v>
      </c>
      <c r="G678" s="1" t="s">
        <v>14</v>
      </c>
      <c r="H678" s="7">
        <f t="shared" ref="H678:I678" si="679">DATE(MID(D678,7,4), MID(D678,4,2), LEFT(D678,2)) + TIMEVALUE(MID(D678,12,5))
</f>
        <v>46083.95833</v>
      </c>
      <c r="I678" s="7">
        <f t="shared" si="679"/>
        <v>46085.625</v>
      </c>
      <c r="J678" s="4">
        <f t="shared" si="3"/>
        <v>40</v>
      </c>
      <c r="K678" s="4" t="str">
        <f t="shared" si="4"/>
        <v>Within SLA</v>
      </c>
    </row>
    <row r="679">
      <c r="A679" s="1" t="s">
        <v>1274</v>
      </c>
      <c r="B679" s="1" t="s">
        <v>16</v>
      </c>
      <c r="C679" s="1" t="s">
        <v>12</v>
      </c>
      <c r="D679" s="5">
        <v>46145.041666666664</v>
      </c>
      <c r="E679" s="5">
        <v>46237.583333333336</v>
      </c>
      <c r="F679" s="6">
        <v>72.0</v>
      </c>
      <c r="G679" s="1" t="s">
        <v>14</v>
      </c>
      <c r="H679" s="7">
        <f t="shared" ref="H679:I679" si="680">DATE(MID(D679,7,4), MID(D679,4,2), LEFT(D679,2)) + TIMEVALUE(MID(D679,12,5))
</f>
        <v>46086.04167</v>
      </c>
      <c r="I679" s="7">
        <f t="shared" si="680"/>
        <v>46089.58333</v>
      </c>
      <c r="J679" s="4">
        <f t="shared" si="3"/>
        <v>85</v>
      </c>
      <c r="K679" s="4" t="str">
        <f t="shared" si="4"/>
        <v>Breached</v>
      </c>
    </row>
    <row r="680">
      <c r="A680" s="1" t="s">
        <v>1275</v>
      </c>
      <c r="B680" s="1" t="s">
        <v>23</v>
      </c>
      <c r="C680" s="1" t="s">
        <v>19</v>
      </c>
      <c r="D680" s="6" t="s">
        <v>1276</v>
      </c>
      <c r="E680" s="6" t="s">
        <v>1277</v>
      </c>
      <c r="F680" s="6">
        <v>24.0</v>
      </c>
      <c r="G680" s="1" t="s">
        <v>14</v>
      </c>
      <c r="H680" s="7">
        <f t="shared" ref="H680:I680" si="681">DATE(MID(D680,7,4), MID(D680,4,2), LEFT(D680,2)) + TIMEVALUE(MID(D680,12,5))
</f>
        <v>46098.83333</v>
      </c>
      <c r="I680" s="7">
        <f t="shared" si="681"/>
        <v>46102.16667</v>
      </c>
      <c r="J680" s="4">
        <f t="shared" si="3"/>
        <v>80</v>
      </c>
      <c r="K680" s="4" t="str">
        <f t="shared" si="4"/>
        <v>Breached</v>
      </c>
    </row>
    <row r="681">
      <c r="A681" s="1" t="s">
        <v>1278</v>
      </c>
      <c r="B681" s="1" t="s">
        <v>11</v>
      </c>
      <c r="C681" s="1" t="s">
        <v>35</v>
      </c>
      <c r="D681" s="6" t="s">
        <v>1279</v>
      </c>
      <c r="E681" s="6" t="s">
        <v>1280</v>
      </c>
      <c r="F681" s="6">
        <v>48.0</v>
      </c>
      <c r="G681" s="1" t="s">
        <v>14</v>
      </c>
      <c r="H681" s="7">
        <f t="shared" ref="H681:I681" si="682">DATE(MID(D681,7,4), MID(D681,4,2), LEFT(D681,2)) + TIMEVALUE(MID(D681,12,5))
</f>
        <v>46104.95833</v>
      </c>
      <c r="I681" s="7">
        <f t="shared" si="682"/>
        <v>46107.91667</v>
      </c>
      <c r="J681" s="4">
        <f t="shared" si="3"/>
        <v>71</v>
      </c>
      <c r="K681" s="4" t="str">
        <f t="shared" si="4"/>
        <v>Breached</v>
      </c>
    </row>
    <row r="682">
      <c r="A682" s="1" t="s">
        <v>1281</v>
      </c>
      <c r="B682" s="1" t="s">
        <v>11</v>
      </c>
      <c r="C682" s="1" t="s">
        <v>19</v>
      </c>
      <c r="D682" s="6" t="s">
        <v>1282</v>
      </c>
      <c r="E682" s="5">
        <v>46083.541666666664</v>
      </c>
      <c r="F682" s="6">
        <v>24.0</v>
      </c>
      <c r="G682" s="1" t="s">
        <v>14</v>
      </c>
      <c r="H682" s="7">
        <f t="shared" ref="H682:I682" si="683">DATE(MID(D682,7,4), MID(D682,4,2), LEFT(D682,2)) + TIMEVALUE(MID(D682,12,5))
</f>
        <v>46053.58333</v>
      </c>
      <c r="I682" s="7">
        <f t="shared" si="683"/>
        <v>46056.54167</v>
      </c>
      <c r="J682" s="4">
        <f t="shared" si="3"/>
        <v>71</v>
      </c>
      <c r="K682" s="4" t="str">
        <f t="shared" si="4"/>
        <v>Breached</v>
      </c>
    </row>
    <row r="683">
      <c r="A683" s="1" t="s">
        <v>1283</v>
      </c>
      <c r="B683" s="1" t="s">
        <v>18</v>
      </c>
      <c r="C683" s="1" t="s">
        <v>12</v>
      </c>
      <c r="D683" s="5">
        <v>46024.833333333336</v>
      </c>
      <c r="E683" s="5">
        <v>46055.875</v>
      </c>
      <c r="F683" s="6">
        <v>72.0</v>
      </c>
      <c r="G683" s="1" t="s">
        <v>14</v>
      </c>
      <c r="H683" s="7">
        <f t="shared" ref="H683:I683" si="684">DATE(MID(D683,7,4), MID(D683,4,2), LEFT(D683,2)) + TIMEVALUE(MID(D683,12,5))
</f>
        <v>46054.83333</v>
      </c>
      <c r="I683" s="7">
        <f t="shared" si="684"/>
        <v>46055.875</v>
      </c>
      <c r="J683" s="4">
        <f t="shared" si="3"/>
        <v>25</v>
      </c>
      <c r="K683" s="4" t="str">
        <f t="shared" si="4"/>
        <v>Within SLA</v>
      </c>
    </row>
    <row r="684">
      <c r="A684" s="1" t="s">
        <v>1284</v>
      </c>
      <c r="B684" s="1" t="s">
        <v>34</v>
      </c>
      <c r="C684" s="1" t="s">
        <v>35</v>
      </c>
      <c r="D684" s="5">
        <v>46266.375</v>
      </c>
      <c r="E684" s="5">
        <v>46296.833333333336</v>
      </c>
      <c r="F684" s="6">
        <v>48.0</v>
      </c>
      <c r="G684" s="1" t="s">
        <v>14</v>
      </c>
      <c r="H684" s="7">
        <f t="shared" ref="H684:I684" si="685">DATE(MID(D684,7,4), MID(D684,4,2), LEFT(D684,2)) + TIMEVALUE(MID(D684,12,5))
</f>
        <v>46031.375</v>
      </c>
      <c r="I684" s="7">
        <f t="shared" si="685"/>
        <v>46032.83333</v>
      </c>
      <c r="J684" s="4">
        <f t="shared" si="3"/>
        <v>35</v>
      </c>
      <c r="K684" s="4" t="str">
        <f t="shared" si="4"/>
        <v>Within SLA</v>
      </c>
    </row>
    <row r="685">
      <c r="A685" s="1" t="s">
        <v>1285</v>
      </c>
      <c r="B685" s="1" t="s">
        <v>16</v>
      </c>
      <c r="C685" s="1" t="s">
        <v>19</v>
      </c>
      <c r="D685" s="5">
        <v>46236.291666666664</v>
      </c>
      <c r="E685" s="5">
        <v>46236.916666666664</v>
      </c>
      <c r="F685" s="6">
        <v>24.0</v>
      </c>
      <c r="G685" s="1" t="s">
        <v>14</v>
      </c>
      <c r="H685" s="7">
        <f t="shared" ref="H685:I685" si="686">DATE(MID(D685,7,4), MID(D685,4,2), LEFT(D685,2)) + TIMEVALUE(MID(D685,12,5))
</f>
        <v>46061.29167</v>
      </c>
      <c r="I685" s="7">
        <f t="shared" si="686"/>
        <v>46061.91667</v>
      </c>
      <c r="J685" s="4">
        <f t="shared" si="3"/>
        <v>15</v>
      </c>
      <c r="K685" s="4" t="str">
        <f t="shared" si="4"/>
        <v>Within SLA</v>
      </c>
    </row>
    <row r="686">
      <c r="A686" s="1" t="s">
        <v>1286</v>
      </c>
      <c r="B686" s="1" t="s">
        <v>34</v>
      </c>
      <c r="C686" s="1" t="s">
        <v>35</v>
      </c>
      <c r="D686" s="6" t="s">
        <v>1287</v>
      </c>
      <c r="E686" s="6" t="s">
        <v>1288</v>
      </c>
      <c r="F686" s="6">
        <v>48.0</v>
      </c>
      <c r="G686" s="1" t="s">
        <v>14</v>
      </c>
      <c r="H686" s="7">
        <f t="shared" ref="H686:I686" si="687">DATE(MID(D686,7,4), MID(D686,4,2), LEFT(D686,2)) + TIMEVALUE(MID(D686,12,5))
</f>
        <v>46069</v>
      </c>
      <c r="I686" s="7">
        <f t="shared" si="687"/>
        <v>46072.75</v>
      </c>
      <c r="J686" s="4">
        <f t="shared" si="3"/>
        <v>90</v>
      </c>
      <c r="K686" s="4" t="str">
        <f t="shared" si="4"/>
        <v>Breached</v>
      </c>
    </row>
    <row r="687">
      <c r="A687" s="1" t="s">
        <v>1289</v>
      </c>
      <c r="B687" s="1" t="s">
        <v>18</v>
      </c>
      <c r="C687" s="1" t="s">
        <v>12</v>
      </c>
      <c r="D687" s="6" t="s">
        <v>1290</v>
      </c>
      <c r="E687" s="6" t="s">
        <v>1291</v>
      </c>
      <c r="F687" s="6">
        <v>72.0</v>
      </c>
      <c r="G687" s="1" t="s">
        <v>14</v>
      </c>
      <c r="H687" s="7">
        <f t="shared" ref="H687:I687" si="688">DATE(MID(D687,7,4), MID(D687,4,2), LEFT(D687,2)) + TIMEVALUE(MID(D687,12,5))
</f>
        <v>46035</v>
      </c>
      <c r="I687" s="7">
        <f t="shared" si="688"/>
        <v>46036.95833</v>
      </c>
      <c r="J687" s="4">
        <f t="shared" si="3"/>
        <v>47</v>
      </c>
      <c r="K687" s="4" t="str">
        <f t="shared" si="4"/>
        <v>Within SLA</v>
      </c>
    </row>
    <row r="688">
      <c r="A688" s="1" t="s">
        <v>1292</v>
      </c>
      <c r="B688" s="1" t="s">
        <v>23</v>
      </c>
      <c r="C688" s="1" t="s">
        <v>19</v>
      </c>
      <c r="D688" s="5">
        <v>46024.208333333336</v>
      </c>
      <c r="E688" s="5">
        <v>46083.416666666664</v>
      </c>
      <c r="F688" s="6">
        <v>24.0</v>
      </c>
      <c r="G688" s="1" t="s">
        <v>14</v>
      </c>
      <c r="H688" s="7">
        <f t="shared" ref="H688:I688" si="689">DATE(MID(D688,7,4), MID(D688,4,2), LEFT(D688,2)) + TIMEVALUE(MID(D688,12,5))
</f>
        <v>46054.20833</v>
      </c>
      <c r="I688" s="7">
        <f t="shared" si="689"/>
        <v>46056.41667</v>
      </c>
      <c r="J688" s="4">
        <f t="shared" si="3"/>
        <v>53</v>
      </c>
      <c r="K688" s="4" t="str">
        <f t="shared" si="4"/>
        <v>Breached</v>
      </c>
    </row>
    <row r="689">
      <c r="A689" s="1" t="s">
        <v>1293</v>
      </c>
      <c r="B689" s="1" t="s">
        <v>23</v>
      </c>
      <c r="C689" s="1" t="s">
        <v>12</v>
      </c>
      <c r="D689" s="6" t="s">
        <v>829</v>
      </c>
      <c r="E689" s="6" t="s">
        <v>1010</v>
      </c>
      <c r="F689" s="6">
        <v>72.0</v>
      </c>
      <c r="G689" s="1" t="s">
        <v>14</v>
      </c>
      <c r="H689" s="7">
        <f t="shared" ref="H689:I689" si="690">DATE(MID(D689,7,4), MID(D689,4,2), LEFT(D689,2)) + TIMEVALUE(MID(D689,12,5))
</f>
        <v>46073.70833</v>
      </c>
      <c r="I689" s="7">
        <f t="shared" si="690"/>
        <v>46075.625</v>
      </c>
      <c r="J689" s="4">
        <f t="shared" si="3"/>
        <v>46</v>
      </c>
      <c r="K689" s="4" t="str">
        <f t="shared" si="4"/>
        <v>Within SLA</v>
      </c>
    </row>
    <row r="690">
      <c r="A690" s="1" t="s">
        <v>1294</v>
      </c>
      <c r="B690" s="1" t="s">
        <v>23</v>
      </c>
      <c r="C690" s="1" t="s">
        <v>19</v>
      </c>
      <c r="D690" s="5">
        <v>46024.0</v>
      </c>
      <c r="E690" s="5">
        <v>46083.25</v>
      </c>
      <c r="F690" s="6">
        <v>24.0</v>
      </c>
      <c r="G690" s="1" t="s">
        <v>14</v>
      </c>
      <c r="H690" s="7">
        <f t="shared" ref="H690:I690" si="691">DATE(MID(D690,7,4), MID(D690,4,2), LEFT(D690,2)) + TIMEVALUE(MID(D690,12,5))
</f>
        <v>46054</v>
      </c>
      <c r="I690" s="7">
        <f t="shared" si="691"/>
        <v>46056.25</v>
      </c>
      <c r="J690" s="4">
        <f t="shared" si="3"/>
        <v>54</v>
      </c>
      <c r="K690" s="4" t="str">
        <f t="shared" si="4"/>
        <v>Breached</v>
      </c>
    </row>
    <row r="691">
      <c r="A691" s="1" t="s">
        <v>1295</v>
      </c>
      <c r="B691" s="1" t="s">
        <v>11</v>
      </c>
      <c r="C691" s="1" t="s">
        <v>19</v>
      </c>
      <c r="D691" s="5">
        <v>46143.791666666664</v>
      </c>
      <c r="E691" s="5">
        <v>46266.541666666664</v>
      </c>
      <c r="F691" s="6">
        <v>24.0</v>
      </c>
      <c r="G691" s="1" t="s">
        <v>14</v>
      </c>
      <c r="H691" s="7">
        <f t="shared" ref="H691:I691" si="692">DATE(MID(D691,7,4), MID(D691,4,2), LEFT(D691,2)) + TIMEVALUE(MID(D691,12,5))
</f>
        <v>46027.79167</v>
      </c>
      <c r="I691" s="7">
        <f t="shared" si="692"/>
        <v>46031.54167</v>
      </c>
      <c r="J691" s="4">
        <f t="shared" si="3"/>
        <v>90</v>
      </c>
      <c r="K691" s="4" t="str">
        <f t="shared" si="4"/>
        <v>Breached</v>
      </c>
    </row>
    <row r="692">
      <c r="A692" s="1" t="s">
        <v>1296</v>
      </c>
      <c r="B692" s="1" t="s">
        <v>11</v>
      </c>
      <c r="C692" s="1" t="s">
        <v>12</v>
      </c>
      <c r="D692" s="6" t="s">
        <v>1297</v>
      </c>
      <c r="E692" s="6" t="s">
        <v>927</v>
      </c>
      <c r="F692" s="6">
        <v>72.0</v>
      </c>
      <c r="G692" s="1" t="s">
        <v>14</v>
      </c>
      <c r="H692" s="7">
        <f t="shared" ref="H692:I692" si="693">DATE(MID(D692,7,4), MID(D692,4,2), LEFT(D692,2)) + TIMEVALUE(MID(D692,12,5))
</f>
        <v>46097.41667</v>
      </c>
      <c r="I692" s="7">
        <f t="shared" si="693"/>
        <v>46099.54167</v>
      </c>
      <c r="J692" s="4">
        <f t="shared" si="3"/>
        <v>51</v>
      </c>
      <c r="K692" s="4" t="str">
        <f t="shared" si="4"/>
        <v>Within SLA</v>
      </c>
    </row>
    <row r="693">
      <c r="A693" s="1" t="s">
        <v>1298</v>
      </c>
      <c r="B693" s="1" t="s">
        <v>11</v>
      </c>
      <c r="C693" s="1" t="s">
        <v>12</v>
      </c>
      <c r="D693" s="5">
        <v>46235.875</v>
      </c>
      <c r="E693" s="5">
        <v>46327.041666666664</v>
      </c>
      <c r="F693" s="6">
        <v>72.0</v>
      </c>
      <c r="G693" s="1" t="s">
        <v>14</v>
      </c>
      <c r="H693" s="7">
        <f t="shared" ref="H693:I693" si="694">DATE(MID(D693,7,4), MID(D693,4,2), LEFT(D693,2)) + TIMEVALUE(MID(D693,12,5))
</f>
        <v>46030.875</v>
      </c>
      <c r="I693" s="7">
        <f t="shared" si="694"/>
        <v>46033.04167</v>
      </c>
      <c r="J693" s="4">
        <f t="shared" si="3"/>
        <v>52</v>
      </c>
      <c r="K693" s="4" t="str">
        <f t="shared" si="4"/>
        <v>Within SLA</v>
      </c>
    </row>
    <row r="694">
      <c r="A694" s="1" t="s">
        <v>1299</v>
      </c>
      <c r="B694" s="1" t="s">
        <v>18</v>
      </c>
      <c r="C694" s="1" t="s">
        <v>12</v>
      </c>
      <c r="D694" s="6" t="s">
        <v>1300</v>
      </c>
      <c r="E694" s="6" t="s">
        <v>1301</v>
      </c>
      <c r="F694" s="6">
        <v>72.0</v>
      </c>
      <c r="G694" s="1" t="s">
        <v>14</v>
      </c>
      <c r="H694" s="7">
        <f t="shared" ref="H694:I694" si="695">DATE(MID(D694,7,4), MID(D694,4,2), LEFT(D694,2)) + TIMEVALUE(MID(D694,12,5))
</f>
        <v>46038.95833</v>
      </c>
      <c r="I694" s="7">
        <f t="shared" si="695"/>
        <v>46042.04167</v>
      </c>
      <c r="J694" s="4">
        <f t="shared" si="3"/>
        <v>74</v>
      </c>
      <c r="K694" s="4" t="str">
        <f t="shared" si="4"/>
        <v>Breached</v>
      </c>
    </row>
    <row r="695">
      <c r="A695" s="1" t="s">
        <v>1302</v>
      </c>
      <c r="B695" s="1" t="s">
        <v>18</v>
      </c>
      <c r="C695" s="1" t="s">
        <v>35</v>
      </c>
      <c r="D695" s="6" t="s">
        <v>1303</v>
      </c>
      <c r="E695" s="6" t="s">
        <v>1304</v>
      </c>
      <c r="F695" s="6">
        <v>48.0</v>
      </c>
      <c r="G695" s="1" t="s">
        <v>14</v>
      </c>
      <c r="H695" s="7">
        <f t="shared" ref="H695:I695" si="696">DATE(MID(D695,7,4), MID(D695,4,2), LEFT(D695,2)) + TIMEVALUE(MID(D695,12,5))
</f>
        <v>46073.875</v>
      </c>
      <c r="I695" s="7">
        <f t="shared" si="696"/>
        <v>46074.45833</v>
      </c>
      <c r="J695" s="4">
        <f t="shared" si="3"/>
        <v>14</v>
      </c>
      <c r="K695" s="4" t="str">
        <f t="shared" si="4"/>
        <v>Within SLA</v>
      </c>
    </row>
    <row r="696">
      <c r="A696" s="1" t="s">
        <v>1305</v>
      </c>
      <c r="B696" s="1" t="s">
        <v>16</v>
      </c>
      <c r="C696" s="1" t="s">
        <v>19</v>
      </c>
      <c r="D696" s="6" t="s">
        <v>766</v>
      </c>
      <c r="E696" s="6" t="s">
        <v>1306</v>
      </c>
      <c r="F696" s="6">
        <v>24.0</v>
      </c>
      <c r="G696" s="1" t="s">
        <v>14</v>
      </c>
      <c r="H696" s="7">
        <f t="shared" ref="H696:I696" si="697">DATE(MID(D696,7,4), MID(D696,4,2), LEFT(D696,2)) + TIMEVALUE(MID(D696,12,5))
</f>
        <v>46070.58333</v>
      </c>
      <c r="I696" s="7">
        <f t="shared" si="697"/>
        <v>46073.41667</v>
      </c>
      <c r="J696" s="4">
        <f t="shared" si="3"/>
        <v>68</v>
      </c>
      <c r="K696" s="4" t="str">
        <f t="shared" si="4"/>
        <v>Breached</v>
      </c>
    </row>
    <row r="697">
      <c r="A697" s="1" t="s">
        <v>1307</v>
      </c>
      <c r="B697" s="1" t="s">
        <v>23</v>
      </c>
      <c r="C697" s="1" t="s">
        <v>35</v>
      </c>
      <c r="D697" s="5">
        <v>46082.875</v>
      </c>
      <c r="E697" s="5">
        <v>46174.25</v>
      </c>
      <c r="F697" s="6">
        <v>48.0</v>
      </c>
      <c r="G697" s="1" t="s">
        <v>14</v>
      </c>
      <c r="H697" s="7">
        <f t="shared" ref="H697:I697" si="698">DATE(MID(D697,7,4), MID(D697,4,2), LEFT(D697,2)) + TIMEVALUE(MID(D697,12,5))
</f>
        <v>46025.875</v>
      </c>
      <c r="I697" s="7">
        <f t="shared" si="698"/>
        <v>46028.25</v>
      </c>
      <c r="J697" s="4">
        <f t="shared" si="3"/>
        <v>57</v>
      </c>
      <c r="K697" s="4" t="str">
        <f t="shared" si="4"/>
        <v>Breached</v>
      </c>
    </row>
    <row r="698">
      <c r="A698" s="1" t="s">
        <v>1308</v>
      </c>
      <c r="B698" s="1" t="s">
        <v>18</v>
      </c>
      <c r="C698" s="1" t="s">
        <v>12</v>
      </c>
      <c r="D698" s="5">
        <v>46204.291666666664</v>
      </c>
      <c r="E698" s="5">
        <v>46204.875</v>
      </c>
      <c r="F698" s="6">
        <v>72.0</v>
      </c>
      <c r="G698" s="1" t="s">
        <v>14</v>
      </c>
      <c r="H698" s="7">
        <f t="shared" ref="H698:I698" si="699">DATE(MID(D698,7,4), MID(D698,4,2), LEFT(D698,2)) + TIMEVALUE(MID(D698,12,5))
</f>
        <v>46029.29167</v>
      </c>
      <c r="I698" s="7">
        <f t="shared" si="699"/>
        <v>46029.875</v>
      </c>
      <c r="J698" s="4">
        <f t="shared" si="3"/>
        <v>14</v>
      </c>
      <c r="K698" s="4" t="str">
        <f t="shared" si="4"/>
        <v>Within SLA</v>
      </c>
    </row>
    <row r="699">
      <c r="A699" s="1" t="s">
        <v>1309</v>
      </c>
      <c r="B699" s="1" t="s">
        <v>11</v>
      </c>
      <c r="C699" s="1" t="s">
        <v>12</v>
      </c>
      <c r="D699" s="6" t="s">
        <v>1310</v>
      </c>
      <c r="E699" s="6" t="s">
        <v>1311</v>
      </c>
      <c r="F699" s="6">
        <v>72.0</v>
      </c>
      <c r="G699" s="1" t="s">
        <v>14</v>
      </c>
      <c r="H699" s="7">
        <f t="shared" ref="H699:I699" si="700">DATE(MID(D699,7,4), MID(D699,4,2), LEFT(D699,2)) + TIMEVALUE(MID(D699,12,5))
</f>
        <v>46095.5</v>
      </c>
      <c r="I699" s="7">
        <f t="shared" si="700"/>
        <v>46099.33333</v>
      </c>
      <c r="J699" s="4">
        <f t="shared" si="3"/>
        <v>92</v>
      </c>
      <c r="K699" s="4" t="str">
        <f t="shared" si="4"/>
        <v>Breached</v>
      </c>
    </row>
    <row r="700">
      <c r="A700" s="1" t="s">
        <v>1312</v>
      </c>
      <c r="B700" s="1" t="s">
        <v>11</v>
      </c>
      <c r="C700" s="1" t="s">
        <v>19</v>
      </c>
      <c r="D700" s="6" t="s">
        <v>1313</v>
      </c>
      <c r="E700" s="5">
        <v>46115.0</v>
      </c>
      <c r="F700" s="6">
        <v>24.0</v>
      </c>
      <c r="G700" s="1" t="s">
        <v>14</v>
      </c>
      <c r="H700" s="7">
        <f t="shared" ref="H700:I700" si="701">DATE(MID(D700,7,4), MID(D700,4,2), LEFT(D700,2)) + TIMEVALUE(MID(D700,12,5))
</f>
        <v>46081.41667</v>
      </c>
      <c r="I700" s="7">
        <f t="shared" si="701"/>
        <v>46085</v>
      </c>
      <c r="J700" s="4">
        <f t="shared" si="3"/>
        <v>86</v>
      </c>
      <c r="K700" s="4" t="str">
        <f t="shared" si="4"/>
        <v>Breached</v>
      </c>
    </row>
    <row r="701">
      <c r="A701" s="1" t="s">
        <v>1314</v>
      </c>
      <c r="B701" s="1" t="s">
        <v>11</v>
      </c>
      <c r="C701" s="1" t="s">
        <v>35</v>
      </c>
      <c r="D701" s="6" t="s">
        <v>1315</v>
      </c>
      <c r="E701" s="6" t="s">
        <v>1316</v>
      </c>
      <c r="F701" s="6">
        <v>48.0</v>
      </c>
      <c r="G701" s="1" t="s">
        <v>14</v>
      </c>
      <c r="H701" s="7">
        <f t="shared" ref="H701:I701" si="702">DATE(MID(D701,7,4), MID(D701,4,2), LEFT(D701,2)) + TIMEVALUE(MID(D701,12,5))
</f>
        <v>46075.25</v>
      </c>
      <c r="I701" s="7">
        <f t="shared" si="702"/>
        <v>46078.5</v>
      </c>
      <c r="J701" s="4">
        <f t="shared" si="3"/>
        <v>78</v>
      </c>
      <c r="K701" s="4" t="str">
        <f t="shared" si="4"/>
        <v>Breached</v>
      </c>
    </row>
    <row r="702">
      <c r="A702" s="1" t="s">
        <v>1317</v>
      </c>
      <c r="B702" s="1" t="s">
        <v>11</v>
      </c>
      <c r="C702" s="1" t="s">
        <v>35</v>
      </c>
      <c r="D702" s="5">
        <v>46175.541666666664</v>
      </c>
      <c r="E702" s="5">
        <v>46236.666666666664</v>
      </c>
      <c r="F702" s="6">
        <v>48.0</v>
      </c>
      <c r="G702" s="1" t="s">
        <v>14</v>
      </c>
      <c r="H702" s="7">
        <f t="shared" ref="H702:I702" si="703">DATE(MID(D702,7,4), MID(D702,4,2), LEFT(D702,2)) + TIMEVALUE(MID(D702,12,5))
</f>
        <v>46059.54167</v>
      </c>
      <c r="I702" s="7">
        <f t="shared" si="703"/>
        <v>46061.66667</v>
      </c>
      <c r="J702" s="4">
        <f t="shared" si="3"/>
        <v>51</v>
      </c>
      <c r="K702" s="4" t="str">
        <f t="shared" si="4"/>
        <v>Breached</v>
      </c>
    </row>
    <row r="703">
      <c r="A703" s="1" t="s">
        <v>1318</v>
      </c>
      <c r="B703" s="1" t="s">
        <v>16</v>
      </c>
      <c r="C703" s="1" t="s">
        <v>35</v>
      </c>
      <c r="D703" s="5">
        <v>46084.458333333336</v>
      </c>
      <c r="E703" s="5">
        <v>46115.958333333336</v>
      </c>
      <c r="F703" s="6">
        <v>48.0</v>
      </c>
      <c r="G703" s="1" t="s">
        <v>14</v>
      </c>
      <c r="H703" s="7">
        <f t="shared" ref="H703:I703" si="704">DATE(MID(D703,7,4), MID(D703,4,2), LEFT(D703,2)) + TIMEVALUE(MID(D703,12,5))
</f>
        <v>46084.45833</v>
      </c>
      <c r="I703" s="7">
        <f t="shared" si="704"/>
        <v>46085.95833</v>
      </c>
      <c r="J703" s="4">
        <f t="shared" si="3"/>
        <v>36</v>
      </c>
      <c r="K703" s="4" t="str">
        <f t="shared" si="4"/>
        <v>Within SLA</v>
      </c>
    </row>
    <row r="704">
      <c r="A704" s="1" t="s">
        <v>1319</v>
      </c>
      <c r="B704" s="1" t="s">
        <v>16</v>
      </c>
      <c r="C704" s="1" t="s">
        <v>35</v>
      </c>
      <c r="D704" s="6" t="s">
        <v>430</v>
      </c>
      <c r="E704" s="5">
        <v>46115.375</v>
      </c>
      <c r="F704" s="6">
        <v>48.0</v>
      </c>
      <c r="G704" s="1" t="s">
        <v>14</v>
      </c>
      <c r="H704" s="7">
        <f t="shared" ref="H704:I704" si="705">DATE(MID(D704,7,4), MID(D704,4,2), LEFT(D704,2)) + TIMEVALUE(MID(D704,12,5))
</f>
        <v>46081.70833</v>
      </c>
      <c r="I704" s="7">
        <f t="shared" si="705"/>
        <v>46085.375</v>
      </c>
      <c r="J704" s="4">
        <f t="shared" si="3"/>
        <v>88</v>
      </c>
      <c r="K704" s="4" t="str">
        <f t="shared" si="4"/>
        <v>Breached</v>
      </c>
    </row>
    <row r="705">
      <c r="A705" s="1" t="s">
        <v>1320</v>
      </c>
      <c r="B705" s="1" t="s">
        <v>23</v>
      </c>
      <c r="C705" s="1" t="s">
        <v>35</v>
      </c>
      <c r="D705" s="5">
        <v>46268.916666666664</v>
      </c>
      <c r="E705" s="5">
        <v>46359.25</v>
      </c>
      <c r="F705" s="6">
        <v>48.0</v>
      </c>
      <c r="G705" s="1" t="s">
        <v>14</v>
      </c>
      <c r="H705" s="7">
        <f t="shared" ref="H705:I705" si="706">DATE(MID(D705,7,4), MID(D705,4,2), LEFT(D705,2)) + TIMEVALUE(MID(D705,12,5))
</f>
        <v>46090.91667</v>
      </c>
      <c r="I705" s="7">
        <f t="shared" si="706"/>
        <v>46093.25</v>
      </c>
      <c r="J705" s="4">
        <f t="shared" si="3"/>
        <v>56</v>
      </c>
      <c r="K705" s="4" t="str">
        <f t="shared" si="4"/>
        <v>Breached</v>
      </c>
    </row>
    <row r="706">
      <c r="A706" s="1" t="s">
        <v>1321</v>
      </c>
      <c r="B706" s="1" t="s">
        <v>34</v>
      </c>
      <c r="C706" s="1" t="s">
        <v>12</v>
      </c>
      <c r="D706" s="5">
        <v>46023.125</v>
      </c>
      <c r="E706" s="5">
        <v>46082.541666666664</v>
      </c>
      <c r="F706" s="6">
        <v>72.0</v>
      </c>
      <c r="G706" s="1" t="s">
        <v>14</v>
      </c>
      <c r="H706" s="7">
        <f t="shared" ref="H706:I706" si="707">DATE(MID(D706,7,4), MID(D706,4,2), LEFT(D706,2)) + TIMEVALUE(MID(D706,12,5))
</f>
        <v>46023.125</v>
      </c>
      <c r="I706" s="7">
        <f t="shared" si="707"/>
        <v>46025.54167</v>
      </c>
      <c r="J706" s="4">
        <f t="shared" si="3"/>
        <v>58</v>
      </c>
      <c r="K706" s="4" t="str">
        <f t="shared" si="4"/>
        <v>Within SLA</v>
      </c>
    </row>
    <row r="707">
      <c r="A707" s="1" t="s">
        <v>1322</v>
      </c>
      <c r="B707" s="1" t="s">
        <v>18</v>
      </c>
      <c r="C707" s="1" t="s">
        <v>19</v>
      </c>
      <c r="D707" s="6" t="s">
        <v>1323</v>
      </c>
      <c r="E707" s="6" t="s">
        <v>502</v>
      </c>
      <c r="F707" s="6">
        <v>24.0</v>
      </c>
      <c r="G707" s="1" t="s">
        <v>14</v>
      </c>
      <c r="H707" s="7">
        <f t="shared" ref="H707:I707" si="708">DATE(MID(D707,7,4), MID(D707,4,2), LEFT(D707,2)) + TIMEVALUE(MID(D707,12,5))
</f>
        <v>46102.125</v>
      </c>
      <c r="I707" s="7">
        <f t="shared" si="708"/>
        <v>46106.08333</v>
      </c>
      <c r="J707" s="4">
        <f t="shared" si="3"/>
        <v>95</v>
      </c>
      <c r="K707" s="4" t="str">
        <f t="shared" si="4"/>
        <v>Breached</v>
      </c>
    </row>
    <row r="708">
      <c r="A708" s="1" t="s">
        <v>1324</v>
      </c>
      <c r="B708" s="1" t="s">
        <v>16</v>
      </c>
      <c r="C708" s="1" t="s">
        <v>19</v>
      </c>
      <c r="D708" s="6" t="s">
        <v>1142</v>
      </c>
      <c r="E708" s="6" t="s">
        <v>1325</v>
      </c>
      <c r="F708" s="6">
        <v>24.0</v>
      </c>
      <c r="G708" s="1" t="s">
        <v>14</v>
      </c>
      <c r="H708" s="7">
        <f t="shared" ref="H708:I708" si="709">DATE(MID(D708,7,4), MID(D708,4,2), LEFT(D708,2)) + TIMEVALUE(MID(D708,12,5))
</f>
        <v>46076.70833</v>
      </c>
      <c r="I708" s="7">
        <f t="shared" si="709"/>
        <v>46078.70833</v>
      </c>
      <c r="J708" s="4">
        <f t="shared" si="3"/>
        <v>48</v>
      </c>
      <c r="K708" s="4" t="str">
        <f t="shared" si="4"/>
        <v>Breached</v>
      </c>
    </row>
    <row r="709">
      <c r="A709" s="1" t="s">
        <v>1326</v>
      </c>
      <c r="B709" s="1" t="s">
        <v>18</v>
      </c>
      <c r="C709" s="1" t="s">
        <v>12</v>
      </c>
      <c r="D709" s="6" t="s">
        <v>1327</v>
      </c>
      <c r="E709" s="6" t="s">
        <v>1328</v>
      </c>
      <c r="F709" s="6">
        <v>72.0</v>
      </c>
      <c r="G709" s="1" t="s">
        <v>14</v>
      </c>
      <c r="H709" s="7">
        <f t="shared" ref="H709:I709" si="710">DATE(MID(D709,7,4), MID(D709,4,2), LEFT(D709,2)) + TIMEVALUE(MID(D709,12,5))
</f>
        <v>46101.5</v>
      </c>
      <c r="I709" s="7">
        <f t="shared" si="710"/>
        <v>46103.58333</v>
      </c>
      <c r="J709" s="4">
        <f t="shared" si="3"/>
        <v>50</v>
      </c>
      <c r="K709" s="4" t="str">
        <f t="shared" si="4"/>
        <v>Within SLA</v>
      </c>
    </row>
    <row r="710">
      <c r="A710" s="1" t="s">
        <v>1329</v>
      </c>
      <c r="B710" s="1" t="s">
        <v>34</v>
      </c>
      <c r="C710" s="1" t="s">
        <v>35</v>
      </c>
      <c r="D710" s="5">
        <v>46023.75</v>
      </c>
      <c r="E710" s="5">
        <v>46054.708333333336</v>
      </c>
      <c r="F710" s="6">
        <v>48.0</v>
      </c>
      <c r="G710" s="1" t="s">
        <v>14</v>
      </c>
      <c r="H710" s="7">
        <f t="shared" ref="H710:I710" si="711">DATE(MID(D710,7,4), MID(D710,4,2), LEFT(D710,2)) + TIMEVALUE(MID(D710,12,5))
</f>
        <v>46023.75</v>
      </c>
      <c r="I710" s="7">
        <f t="shared" si="711"/>
        <v>46024.70833</v>
      </c>
      <c r="J710" s="4">
        <f t="shared" si="3"/>
        <v>23</v>
      </c>
      <c r="K710" s="4" t="str">
        <f t="shared" si="4"/>
        <v>Within SLA</v>
      </c>
    </row>
    <row r="711">
      <c r="A711" s="1" t="s">
        <v>1330</v>
      </c>
      <c r="B711" s="1" t="s">
        <v>11</v>
      </c>
      <c r="C711" s="1" t="s">
        <v>19</v>
      </c>
      <c r="D711" s="6" t="s">
        <v>1331</v>
      </c>
      <c r="E711" s="5">
        <v>46115.166666666664</v>
      </c>
      <c r="F711" s="6">
        <v>24.0</v>
      </c>
      <c r="G711" s="1" t="s">
        <v>14</v>
      </c>
      <c r="H711" s="7">
        <f t="shared" ref="H711:I711" si="712">DATE(MID(D711,7,4), MID(D711,4,2), LEFT(D711,2)) + TIMEVALUE(MID(D711,12,5))
</f>
        <v>46081.625</v>
      </c>
      <c r="I711" s="7">
        <f t="shared" si="712"/>
        <v>46085.16667</v>
      </c>
      <c r="J711" s="4">
        <f t="shared" si="3"/>
        <v>85</v>
      </c>
      <c r="K711" s="4" t="str">
        <f t="shared" si="4"/>
        <v>Breached</v>
      </c>
    </row>
    <row r="712">
      <c r="A712" s="1" t="s">
        <v>1332</v>
      </c>
      <c r="B712" s="1" t="s">
        <v>16</v>
      </c>
      <c r="C712" s="1" t="s">
        <v>35</v>
      </c>
      <c r="D712" s="5">
        <v>46204.333333333336</v>
      </c>
      <c r="E712" s="5">
        <v>46235.208333333336</v>
      </c>
      <c r="F712" s="6">
        <v>48.0</v>
      </c>
      <c r="G712" s="1" t="s">
        <v>14</v>
      </c>
      <c r="H712" s="7">
        <f t="shared" ref="H712:I712" si="713">DATE(MID(D712,7,4), MID(D712,4,2), LEFT(D712,2)) + TIMEVALUE(MID(D712,12,5))
</f>
        <v>46029.33333</v>
      </c>
      <c r="I712" s="7">
        <f t="shared" si="713"/>
        <v>46030.20833</v>
      </c>
      <c r="J712" s="4">
        <f t="shared" si="3"/>
        <v>21</v>
      </c>
      <c r="K712" s="4" t="str">
        <f t="shared" si="4"/>
        <v>Within SLA</v>
      </c>
    </row>
    <row r="713">
      <c r="A713" s="1" t="s">
        <v>1333</v>
      </c>
      <c r="B713" s="1" t="s">
        <v>11</v>
      </c>
      <c r="C713" s="1" t="s">
        <v>12</v>
      </c>
      <c r="D713" s="6" t="s">
        <v>1334</v>
      </c>
      <c r="E713" s="6" t="s">
        <v>618</v>
      </c>
      <c r="F713" s="6">
        <v>72.0</v>
      </c>
      <c r="G713" s="1" t="s">
        <v>14</v>
      </c>
      <c r="H713" s="7">
        <f t="shared" ref="H713:I713" si="714">DATE(MID(D713,7,4), MID(D713,4,2), LEFT(D713,2)) + TIMEVALUE(MID(D713,12,5))
</f>
        <v>46044.66667</v>
      </c>
      <c r="I713" s="7">
        <f t="shared" si="714"/>
        <v>46046.20833</v>
      </c>
      <c r="J713" s="4">
        <f t="shared" si="3"/>
        <v>37</v>
      </c>
      <c r="K713" s="4" t="str">
        <f t="shared" si="4"/>
        <v>Within SLA</v>
      </c>
    </row>
    <row r="714">
      <c r="A714" s="1" t="s">
        <v>1335</v>
      </c>
      <c r="B714" s="1" t="s">
        <v>34</v>
      </c>
      <c r="C714" s="1" t="s">
        <v>19</v>
      </c>
      <c r="D714" s="6" t="s">
        <v>358</v>
      </c>
      <c r="E714" s="6" t="s">
        <v>1336</v>
      </c>
      <c r="F714" s="6">
        <v>24.0</v>
      </c>
      <c r="G714" s="1" t="s">
        <v>14</v>
      </c>
      <c r="H714" s="7">
        <f t="shared" ref="H714:I714" si="715">DATE(MID(D714,7,4), MID(D714,4,2), LEFT(D714,2)) + TIMEVALUE(MID(D714,12,5))
</f>
        <v>46099.125</v>
      </c>
      <c r="I714" s="7">
        <f t="shared" si="715"/>
        <v>46100</v>
      </c>
      <c r="J714" s="4">
        <f t="shared" si="3"/>
        <v>21</v>
      </c>
      <c r="K714" s="4" t="str">
        <f t="shared" si="4"/>
        <v>Within SLA</v>
      </c>
    </row>
    <row r="715">
      <c r="A715" s="1" t="s">
        <v>1337</v>
      </c>
      <c r="B715" s="1" t="s">
        <v>11</v>
      </c>
      <c r="C715" s="1" t="s">
        <v>19</v>
      </c>
      <c r="D715" s="6" t="s">
        <v>527</v>
      </c>
      <c r="E715" s="6" t="s">
        <v>969</v>
      </c>
      <c r="F715" s="6">
        <v>24.0</v>
      </c>
      <c r="G715" s="1" t="s">
        <v>14</v>
      </c>
      <c r="H715" s="7">
        <f t="shared" ref="H715:I715" si="716">DATE(MID(D715,7,4), MID(D715,4,2), LEFT(D715,2)) + TIMEVALUE(MID(D715,12,5))
</f>
        <v>46048.29167</v>
      </c>
      <c r="I715" s="7">
        <f t="shared" si="716"/>
        <v>46051.66667</v>
      </c>
      <c r="J715" s="4">
        <f t="shared" si="3"/>
        <v>81</v>
      </c>
      <c r="K715" s="4" t="str">
        <f t="shared" si="4"/>
        <v>Breached</v>
      </c>
    </row>
    <row r="716">
      <c r="A716" s="1" t="s">
        <v>1338</v>
      </c>
      <c r="B716" s="1" t="s">
        <v>16</v>
      </c>
      <c r="C716" s="1" t="s">
        <v>35</v>
      </c>
      <c r="D716" s="5">
        <v>46327.791666666664</v>
      </c>
      <c r="E716" s="6" t="s">
        <v>1016</v>
      </c>
      <c r="F716" s="6">
        <v>48.0</v>
      </c>
      <c r="G716" s="1" t="s">
        <v>14</v>
      </c>
      <c r="H716" s="7">
        <f t="shared" ref="H716:I716" si="717">DATE(MID(D716,7,4), MID(D716,4,2), LEFT(D716,2)) + TIMEVALUE(MID(D716,12,5))
</f>
        <v>46033.79167</v>
      </c>
      <c r="I716" s="7">
        <f t="shared" si="717"/>
        <v>46035.79167</v>
      </c>
      <c r="J716" s="4">
        <f t="shared" si="3"/>
        <v>48</v>
      </c>
      <c r="K716" s="4" t="str">
        <f t="shared" si="4"/>
        <v>Within SLA</v>
      </c>
    </row>
    <row r="717">
      <c r="A717" s="1" t="s">
        <v>1339</v>
      </c>
      <c r="B717" s="1" t="s">
        <v>11</v>
      </c>
      <c r="C717" s="1" t="s">
        <v>19</v>
      </c>
      <c r="D717" s="5">
        <v>46083.5</v>
      </c>
      <c r="E717" s="5">
        <v>46144.166666666664</v>
      </c>
      <c r="F717" s="6">
        <v>24.0</v>
      </c>
      <c r="G717" s="1" t="s">
        <v>14</v>
      </c>
      <c r="H717" s="7">
        <f t="shared" ref="H717:I717" si="718">DATE(MID(D717,7,4), MID(D717,4,2), LEFT(D717,2)) + TIMEVALUE(MID(D717,12,5))
</f>
        <v>46056.5</v>
      </c>
      <c r="I717" s="7">
        <f t="shared" si="718"/>
        <v>46058.16667</v>
      </c>
      <c r="J717" s="4">
        <f t="shared" si="3"/>
        <v>40</v>
      </c>
      <c r="K717" s="4" t="str">
        <f t="shared" si="4"/>
        <v>Breached</v>
      </c>
    </row>
    <row r="718">
      <c r="A718" s="1" t="s">
        <v>1340</v>
      </c>
      <c r="B718" s="1" t="s">
        <v>34</v>
      </c>
      <c r="C718" s="1" t="s">
        <v>19</v>
      </c>
      <c r="D718" s="6" t="s">
        <v>1341</v>
      </c>
      <c r="E718" s="6" t="s">
        <v>1342</v>
      </c>
      <c r="F718" s="6">
        <v>24.0</v>
      </c>
      <c r="G718" s="1" t="s">
        <v>14</v>
      </c>
      <c r="H718" s="7">
        <f t="shared" ref="H718:I718" si="719">DATE(MID(D718,7,4), MID(D718,4,2), LEFT(D718,2)) + TIMEVALUE(MID(D718,12,5))
</f>
        <v>46101.79167</v>
      </c>
      <c r="I718" s="7">
        <f t="shared" si="719"/>
        <v>46105.66667</v>
      </c>
      <c r="J718" s="4">
        <f t="shared" si="3"/>
        <v>93</v>
      </c>
      <c r="K718" s="4" t="str">
        <f t="shared" si="4"/>
        <v>Breached</v>
      </c>
    </row>
    <row r="719">
      <c r="A719" s="1" t="s">
        <v>1343</v>
      </c>
      <c r="B719" s="1" t="s">
        <v>11</v>
      </c>
      <c r="C719" s="1" t="s">
        <v>12</v>
      </c>
      <c r="D719" s="5">
        <v>46114.666666666664</v>
      </c>
      <c r="E719" s="5">
        <v>46175.25</v>
      </c>
      <c r="F719" s="6">
        <v>72.0</v>
      </c>
      <c r="G719" s="1" t="s">
        <v>14</v>
      </c>
      <c r="H719" s="7">
        <f t="shared" ref="H719:I719" si="720">DATE(MID(D719,7,4), MID(D719,4,2), LEFT(D719,2)) + TIMEVALUE(MID(D719,12,5))
</f>
        <v>46057.66667</v>
      </c>
      <c r="I719" s="7">
        <f t="shared" si="720"/>
        <v>46059.25</v>
      </c>
      <c r="J719" s="4">
        <f t="shared" si="3"/>
        <v>38</v>
      </c>
      <c r="K719" s="4" t="str">
        <f t="shared" si="4"/>
        <v>Within SLA</v>
      </c>
    </row>
    <row r="720">
      <c r="A720" s="1" t="s">
        <v>1344</v>
      </c>
      <c r="B720" s="1" t="s">
        <v>34</v>
      </c>
      <c r="C720" s="1" t="s">
        <v>12</v>
      </c>
      <c r="D720" s="6" t="s">
        <v>1345</v>
      </c>
      <c r="E720" s="6" t="s">
        <v>184</v>
      </c>
      <c r="F720" s="6">
        <v>72.0</v>
      </c>
      <c r="G720" s="1" t="s">
        <v>14</v>
      </c>
      <c r="H720" s="7">
        <f t="shared" ref="H720:I720" si="721">DATE(MID(D720,7,4), MID(D720,4,2), LEFT(D720,2)) + TIMEVALUE(MID(D720,12,5))
</f>
        <v>46041.41667</v>
      </c>
      <c r="I720" s="7">
        <f t="shared" si="721"/>
        <v>46045.29167</v>
      </c>
      <c r="J720" s="4">
        <f t="shared" si="3"/>
        <v>93</v>
      </c>
      <c r="K720" s="4" t="str">
        <f t="shared" si="4"/>
        <v>Breached</v>
      </c>
    </row>
    <row r="721">
      <c r="A721" s="1" t="s">
        <v>1346</v>
      </c>
      <c r="B721" s="1" t="s">
        <v>11</v>
      </c>
      <c r="C721" s="1" t="s">
        <v>35</v>
      </c>
      <c r="D721" s="6" t="s">
        <v>1347</v>
      </c>
      <c r="E721" s="6" t="s">
        <v>1348</v>
      </c>
      <c r="F721" s="6">
        <v>48.0</v>
      </c>
      <c r="G721" s="1" t="s">
        <v>14</v>
      </c>
      <c r="H721" s="7">
        <f t="shared" ref="H721:I721" si="722">DATE(MID(D721,7,4), MID(D721,4,2), LEFT(D721,2)) + TIMEVALUE(MID(D721,12,5))
</f>
        <v>46094.875</v>
      </c>
      <c r="I721" s="7">
        <f t="shared" si="722"/>
        <v>46095.375</v>
      </c>
      <c r="J721" s="4">
        <f t="shared" si="3"/>
        <v>12</v>
      </c>
      <c r="K721" s="4" t="str">
        <f t="shared" si="4"/>
        <v>Within SLA</v>
      </c>
    </row>
    <row r="722">
      <c r="A722" s="1" t="s">
        <v>1349</v>
      </c>
      <c r="B722" s="1" t="s">
        <v>23</v>
      </c>
      <c r="C722" s="1" t="s">
        <v>12</v>
      </c>
      <c r="D722" s="5">
        <v>46175.75</v>
      </c>
      <c r="E722" s="5">
        <v>46297.125</v>
      </c>
      <c r="F722" s="6">
        <v>72.0</v>
      </c>
      <c r="G722" s="1" t="s">
        <v>14</v>
      </c>
      <c r="H722" s="7">
        <f t="shared" ref="H722:I722" si="723">DATE(MID(D722,7,4), MID(D722,4,2), LEFT(D722,2)) + TIMEVALUE(MID(D722,12,5))
</f>
        <v>46059.75</v>
      </c>
      <c r="I722" s="7">
        <f t="shared" si="723"/>
        <v>46063.125</v>
      </c>
      <c r="J722" s="4">
        <f t="shared" si="3"/>
        <v>81</v>
      </c>
      <c r="K722" s="4" t="str">
        <f t="shared" si="4"/>
        <v>Breached</v>
      </c>
    </row>
    <row r="723">
      <c r="A723" s="1" t="s">
        <v>1350</v>
      </c>
      <c r="B723" s="1" t="s">
        <v>16</v>
      </c>
      <c r="C723" s="1" t="s">
        <v>19</v>
      </c>
      <c r="D723" s="6" t="s">
        <v>1351</v>
      </c>
      <c r="E723" s="6" t="s">
        <v>1325</v>
      </c>
      <c r="F723" s="6">
        <v>24.0</v>
      </c>
      <c r="G723" s="1" t="s">
        <v>14</v>
      </c>
      <c r="H723" s="7">
        <f t="shared" ref="H723:I723" si="724">DATE(MID(D723,7,4), MID(D723,4,2), LEFT(D723,2)) + TIMEVALUE(MID(D723,12,5))
</f>
        <v>46075.45833</v>
      </c>
      <c r="I723" s="7">
        <f t="shared" si="724"/>
        <v>46078.70833</v>
      </c>
      <c r="J723" s="4">
        <f t="shared" si="3"/>
        <v>78</v>
      </c>
      <c r="K723" s="4" t="str">
        <f t="shared" si="4"/>
        <v>Breached</v>
      </c>
    </row>
    <row r="724">
      <c r="A724" s="1" t="s">
        <v>1352</v>
      </c>
      <c r="B724" s="1" t="s">
        <v>34</v>
      </c>
      <c r="C724" s="1" t="s">
        <v>35</v>
      </c>
      <c r="D724" s="6" t="s">
        <v>1353</v>
      </c>
      <c r="E724" s="5">
        <v>46056.333333333336</v>
      </c>
      <c r="F724" s="6">
        <v>48.0</v>
      </c>
      <c r="G724" s="1" t="s">
        <v>14</v>
      </c>
      <c r="H724" s="7">
        <f t="shared" ref="H724:I724" si="725">DATE(MID(D724,7,4), MID(D724,4,2), LEFT(D724,2)) + TIMEVALUE(MID(D724,12,5))
</f>
        <v>46081</v>
      </c>
      <c r="I724" s="7">
        <f t="shared" si="725"/>
        <v>46083.33333</v>
      </c>
      <c r="J724" s="4">
        <f t="shared" si="3"/>
        <v>56</v>
      </c>
      <c r="K724" s="4" t="str">
        <f t="shared" si="4"/>
        <v>Breached</v>
      </c>
    </row>
    <row r="725">
      <c r="A725" s="1" t="s">
        <v>1354</v>
      </c>
      <c r="B725" s="1" t="s">
        <v>34</v>
      </c>
      <c r="C725" s="1" t="s">
        <v>12</v>
      </c>
      <c r="D725" s="6" t="s">
        <v>1355</v>
      </c>
      <c r="E725" s="6" t="s">
        <v>1356</v>
      </c>
      <c r="F725" s="6">
        <v>72.0</v>
      </c>
      <c r="G725" s="1" t="s">
        <v>14</v>
      </c>
      <c r="H725" s="7">
        <f t="shared" ref="H725:I725" si="726">DATE(MID(D725,7,4), MID(D725,4,2), LEFT(D725,2)) + TIMEVALUE(MID(D725,12,5))
</f>
        <v>46050.125</v>
      </c>
      <c r="I725" s="7">
        <f t="shared" si="726"/>
        <v>46051.375</v>
      </c>
      <c r="J725" s="4">
        <f t="shared" si="3"/>
        <v>30</v>
      </c>
      <c r="K725" s="4" t="str">
        <f t="shared" si="4"/>
        <v>Within SLA</v>
      </c>
    </row>
    <row r="726">
      <c r="A726" s="1" t="s">
        <v>1357</v>
      </c>
      <c r="B726" s="1" t="s">
        <v>34</v>
      </c>
      <c r="C726" s="1" t="s">
        <v>12</v>
      </c>
      <c r="D726" s="5">
        <v>46114.5</v>
      </c>
      <c r="E726" s="5">
        <v>46144.416666666664</v>
      </c>
      <c r="F726" s="6">
        <v>72.0</v>
      </c>
      <c r="G726" s="1" t="s">
        <v>14</v>
      </c>
      <c r="H726" s="7">
        <f t="shared" ref="H726:I726" si="727">DATE(MID(D726,7,4), MID(D726,4,2), LEFT(D726,2)) + TIMEVALUE(MID(D726,12,5))
</f>
        <v>46057.5</v>
      </c>
      <c r="I726" s="7">
        <f t="shared" si="727"/>
        <v>46058.41667</v>
      </c>
      <c r="J726" s="4">
        <f t="shared" si="3"/>
        <v>22</v>
      </c>
      <c r="K726" s="4" t="str">
        <f t="shared" si="4"/>
        <v>Within SLA</v>
      </c>
    </row>
    <row r="727">
      <c r="A727" s="1" t="s">
        <v>1358</v>
      </c>
      <c r="B727" s="1" t="s">
        <v>18</v>
      </c>
      <c r="C727" s="1" t="s">
        <v>19</v>
      </c>
      <c r="D727" s="5">
        <v>46267.333333333336</v>
      </c>
      <c r="E727" s="5">
        <v>46297.166666666664</v>
      </c>
      <c r="F727" s="6">
        <v>24.0</v>
      </c>
      <c r="G727" s="1" t="s">
        <v>14</v>
      </c>
      <c r="H727" s="7">
        <f t="shared" ref="H727:I727" si="728">DATE(MID(D727,7,4), MID(D727,4,2), LEFT(D727,2)) + TIMEVALUE(MID(D727,12,5))
</f>
        <v>46062.33333</v>
      </c>
      <c r="I727" s="7">
        <f t="shared" si="728"/>
        <v>46063.16667</v>
      </c>
      <c r="J727" s="4">
        <f t="shared" si="3"/>
        <v>20</v>
      </c>
      <c r="K727" s="4" t="str">
        <f t="shared" si="4"/>
        <v>Within SLA</v>
      </c>
    </row>
    <row r="728">
      <c r="A728" s="1" t="s">
        <v>1359</v>
      </c>
      <c r="B728" s="1" t="s">
        <v>34</v>
      </c>
      <c r="C728" s="1" t="s">
        <v>35</v>
      </c>
      <c r="D728" s="5">
        <v>46025.75</v>
      </c>
      <c r="E728" s="5">
        <v>46056.333333333336</v>
      </c>
      <c r="F728" s="6">
        <v>48.0</v>
      </c>
      <c r="G728" s="1" t="s">
        <v>14</v>
      </c>
      <c r="H728" s="7">
        <f t="shared" ref="H728:I728" si="729">DATE(MID(D728,7,4), MID(D728,4,2), LEFT(D728,2)) + TIMEVALUE(MID(D728,12,5))
</f>
        <v>46082.75</v>
      </c>
      <c r="I728" s="7">
        <f t="shared" si="729"/>
        <v>46083.33333</v>
      </c>
      <c r="J728" s="4">
        <f t="shared" si="3"/>
        <v>14</v>
      </c>
      <c r="K728" s="4" t="str">
        <f t="shared" si="4"/>
        <v>Within SLA</v>
      </c>
    </row>
    <row r="729">
      <c r="A729" s="1" t="s">
        <v>1360</v>
      </c>
      <c r="B729" s="1" t="s">
        <v>11</v>
      </c>
      <c r="C729" s="1" t="s">
        <v>35</v>
      </c>
      <c r="D729" s="5">
        <v>46235.0</v>
      </c>
      <c r="E729" s="5">
        <v>46327.625</v>
      </c>
      <c r="F729" s="6">
        <v>48.0</v>
      </c>
      <c r="G729" s="1" t="s">
        <v>14</v>
      </c>
      <c r="H729" s="7">
        <f t="shared" ref="H729:I729" si="730">DATE(MID(D729,7,4), MID(D729,4,2), LEFT(D729,2)) + TIMEVALUE(MID(D729,12,5))
</f>
        <v>46030</v>
      </c>
      <c r="I729" s="7">
        <f t="shared" si="730"/>
        <v>46033.625</v>
      </c>
      <c r="J729" s="4">
        <f t="shared" si="3"/>
        <v>87</v>
      </c>
      <c r="K729" s="4" t="str">
        <f t="shared" si="4"/>
        <v>Breached</v>
      </c>
    </row>
    <row r="730">
      <c r="A730" s="1" t="s">
        <v>1361</v>
      </c>
      <c r="B730" s="1" t="s">
        <v>16</v>
      </c>
      <c r="C730" s="1" t="s">
        <v>35</v>
      </c>
      <c r="D730" s="5">
        <v>46174.666666666664</v>
      </c>
      <c r="E730" s="5">
        <v>46296.583333333336</v>
      </c>
      <c r="F730" s="6">
        <v>48.0</v>
      </c>
      <c r="G730" s="1" t="s">
        <v>14</v>
      </c>
      <c r="H730" s="7">
        <f t="shared" ref="H730:I730" si="731">DATE(MID(D730,7,4), MID(D730,4,2), LEFT(D730,2)) + TIMEVALUE(MID(D730,12,5))
</f>
        <v>46028.66667</v>
      </c>
      <c r="I730" s="7">
        <f t="shared" si="731"/>
        <v>46032.58333</v>
      </c>
      <c r="J730" s="4">
        <f t="shared" si="3"/>
        <v>94</v>
      </c>
      <c r="K730" s="4" t="str">
        <f t="shared" si="4"/>
        <v>Breached</v>
      </c>
    </row>
    <row r="731">
      <c r="A731" s="1" t="s">
        <v>1362</v>
      </c>
      <c r="B731" s="1" t="s">
        <v>23</v>
      </c>
      <c r="C731" s="1" t="s">
        <v>19</v>
      </c>
      <c r="D731" s="6" t="s">
        <v>1363</v>
      </c>
      <c r="E731" s="6" t="s">
        <v>1364</v>
      </c>
      <c r="F731" s="6">
        <v>24.0</v>
      </c>
      <c r="G731" s="1" t="s">
        <v>14</v>
      </c>
      <c r="H731" s="7">
        <f t="shared" ref="H731:I731" si="732">DATE(MID(D731,7,4), MID(D731,4,2), LEFT(D731,2)) + TIMEVALUE(MID(D731,12,5))
</f>
        <v>46066.375</v>
      </c>
      <c r="I731" s="7">
        <f t="shared" si="732"/>
        <v>46067.625</v>
      </c>
      <c r="J731" s="4">
        <f t="shared" si="3"/>
        <v>30</v>
      </c>
      <c r="K731" s="4" t="str">
        <f t="shared" si="4"/>
        <v>Breached</v>
      </c>
    </row>
    <row r="732">
      <c r="A732" s="1" t="s">
        <v>1365</v>
      </c>
      <c r="B732" s="1" t="s">
        <v>11</v>
      </c>
      <c r="C732" s="1" t="s">
        <v>12</v>
      </c>
      <c r="D732" s="6" t="s">
        <v>1366</v>
      </c>
      <c r="E732" s="6" t="s">
        <v>749</v>
      </c>
      <c r="F732" s="6">
        <v>72.0</v>
      </c>
      <c r="G732" s="1" t="s">
        <v>14</v>
      </c>
      <c r="H732" s="7">
        <f t="shared" ref="H732:I732" si="733">DATE(MID(D732,7,4), MID(D732,4,2), LEFT(D732,2)) + TIMEVALUE(MID(D732,12,5))
</f>
        <v>46098.29167</v>
      </c>
      <c r="I732" s="7">
        <f t="shared" si="733"/>
        <v>46102.20833</v>
      </c>
      <c r="J732" s="4">
        <f t="shared" si="3"/>
        <v>94</v>
      </c>
      <c r="K732" s="4" t="str">
        <f t="shared" si="4"/>
        <v>Breached</v>
      </c>
    </row>
    <row r="733">
      <c r="A733" s="1" t="s">
        <v>1367</v>
      </c>
      <c r="B733" s="1" t="s">
        <v>34</v>
      </c>
      <c r="C733" s="1" t="s">
        <v>35</v>
      </c>
      <c r="D733" s="6" t="s">
        <v>137</v>
      </c>
      <c r="E733" s="6" t="s">
        <v>524</v>
      </c>
      <c r="F733" s="6">
        <v>48.0</v>
      </c>
      <c r="G733" s="1" t="s">
        <v>14</v>
      </c>
      <c r="H733" s="7">
        <f t="shared" ref="H733:I733" si="734">DATE(MID(D733,7,4), MID(D733,4,2), LEFT(D733,2)) + TIMEVALUE(MID(D733,12,5))
</f>
        <v>46099.25</v>
      </c>
      <c r="I733" s="7">
        <f t="shared" si="734"/>
        <v>46100.33333</v>
      </c>
      <c r="J733" s="4">
        <f t="shared" si="3"/>
        <v>26</v>
      </c>
      <c r="K733" s="4" t="str">
        <f t="shared" si="4"/>
        <v>Within SLA</v>
      </c>
    </row>
    <row r="734">
      <c r="A734" s="1" t="s">
        <v>1368</v>
      </c>
      <c r="B734" s="1" t="s">
        <v>11</v>
      </c>
      <c r="C734" s="1" t="s">
        <v>12</v>
      </c>
      <c r="D734" s="6" t="s">
        <v>1369</v>
      </c>
      <c r="E734" s="6" t="s">
        <v>1370</v>
      </c>
      <c r="F734" s="6">
        <v>72.0</v>
      </c>
      <c r="G734" s="1" t="s">
        <v>14</v>
      </c>
      <c r="H734" s="7">
        <f t="shared" ref="H734:I734" si="735">DATE(MID(D734,7,4), MID(D734,4,2), LEFT(D734,2)) + TIMEVALUE(MID(D734,12,5))
</f>
        <v>46074.20833</v>
      </c>
      <c r="I734" s="7">
        <f t="shared" si="735"/>
        <v>46076.875</v>
      </c>
      <c r="J734" s="4">
        <f t="shared" si="3"/>
        <v>64</v>
      </c>
      <c r="K734" s="4" t="str">
        <f t="shared" si="4"/>
        <v>Within SLA</v>
      </c>
    </row>
    <row r="735">
      <c r="A735" s="1" t="s">
        <v>1371</v>
      </c>
      <c r="B735" s="1" t="s">
        <v>34</v>
      </c>
      <c r="C735" s="1" t="s">
        <v>12</v>
      </c>
      <c r="D735" s="6" t="s">
        <v>613</v>
      </c>
      <c r="E735" s="6" t="s">
        <v>1372</v>
      </c>
      <c r="F735" s="6">
        <v>72.0</v>
      </c>
      <c r="G735" s="1" t="s">
        <v>14</v>
      </c>
      <c r="H735" s="7">
        <f t="shared" ref="H735:I735" si="736">DATE(MID(D735,7,4), MID(D735,4,2), LEFT(D735,2)) + TIMEVALUE(MID(D735,12,5))
</f>
        <v>46051.29167</v>
      </c>
      <c r="I735" s="7">
        <f t="shared" si="736"/>
        <v>46052.45833</v>
      </c>
      <c r="J735" s="4">
        <f t="shared" si="3"/>
        <v>28</v>
      </c>
      <c r="K735" s="4" t="str">
        <f t="shared" si="4"/>
        <v>Within SLA</v>
      </c>
    </row>
    <row r="736">
      <c r="A736" s="1" t="s">
        <v>1373</v>
      </c>
      <c r="B736" s="1" t="s">
        <v>23</v>
      </c>
      <c r="C736" s="1" t="s">
        <v>35</v>
      </c>
      <c r="D736" s="5">
        <v>46113.625</v>
      </c>
      <c r="E736" s="5">
        <v>46143.25</v>
      </c>
      <c r="F736" s="6">
        <v>48.0</v>
      </c>
      <c r="G736" s="1" t="s">
        <v>14</v>
      </c>
      <c r="H736" s="7">
        <f t="shared" ref="H736:I736" si="737">DATE(MID(D736,7,4), MID(D736,4,2), LEFT(D736,2)) + TIMEVALUE(MID(D736,12,5))
</f>
        <v>46026.625</v>
      </c>
      <c r="I736" s="7">
        <f t="shared" si="737"/>
        <v>46027.25</v>
      </c>
      <c r="J736" s="4">
        <f t="shared" si="3"/>
        <v>15</v>
      </c>
      <c r="K736" s="4" t="str">
        <f t="shared" si="4"/>
        <v>Within SLA</v>
      </c>
    </row>
    <row r="737">
      <c r="A737" s="1" t="s">
        <v>1374</v>
      </c>
      <c r="B737" s="1" t="s">
        <v>16</v>
      </c>
      <c r="C737" s="1" t="s">
        <v>35</v>
      </c>
      <c r="D737" s="6" t="s">
        <v>1375</v>
      </c>
      <c r="E737" s="6" t="s">
        <v>976</v>
      </c>
      <c r="F737" s="6">
        <v>48.0</v>
      </c>
      <c r="G737" s="1" t="s">
        <v>14</v>
      </c>
      <c r="H737" s="7">
        <f t="shared" ref="H737:I737" si="738">DATE(MID(D737,7,4), MID(D737,4,2), LEFT(D737,2)) + TIMEVALUE(MID(D737,12,5))
</f>
        <v>46040.25</v>
      </c>
      <c r="I737" s="7">
        <f t="shared" si="738"/>
        <v>46041</v>
      </c>
      <c r="J737" s="4">
        <f t="shared" si="3"/>
        <v>18</v>
      </c>
      <c r="K737" s="4" t="str">
        <f t="shared" si="4"/>
        <v>Within SLA</v>
      </c>
    </row>
    <row r="738">
      <c r="A738" s="1" t="s">
        <v>1376</v>
      </c>
      <c r="B738" s="1" t="s">
        <v>34</v>
      </c>
      <c r="C738" s="1" t="s">
        <v>35</v>
      </c>
      <c r="D738" s="6" t="s">
        <v>1377</v>
      </c>
      <c r="E738" s="6" t="s">
        <v>277</v>
      </c>
      <c r="F738" s="6">
        <v>48.0</v>
      </c>
      <c r="G738" s="1" t="s">
        <v>14</v>
      </c>
      <c r="H738" s="7">
        <f t="shared" ref="H738:I738" si="739">DATE(MID(D738,7,4), MID(D738,4,2), LEFT(D738,2)) + TIMEVALUE(MID(D738,12,5))
</f>
        <v>46038.16667</v>
      </c>
      <c r="I738" s="7">
        <f t="shared" si="739"/>
        <v>46040.16667</v>
      </c>
      <c r="J738" s="4">
        <f t="shared" si="3"/>
        <v>48</v>
      </c>
      <c r="K738" s="4" t="str">
        <f t="shared" si="4"/>
        <v>Within SLA</v>
      </c>
    </row>
    <row r="739">
      <c r="A739" s="1" t="s">
        <v>1378</v>
      </c>
      <c r="B739" s="1" t="s">
        <v>16</v>
      </c>
      <c r="C739" s="1" t="s">
        <v>12</v>
      </c>
      <c r="D739" s="5">
        <v>46145.166666666664</v>
      </c>
      <c r="E739" s="5">
        <v>46176.125</v>
      </c>
      <c r="F739" s="6">
        <v>72.0</v>
      </c>
      <c r="G739" s="1" t="s">
        <v>14</v>
      </c>
      <c r="H739" s="7">
        <f t="shared" ref="H739:I739" si="740">DATE(MID(D739,7,4), MID(D739,4,2), LEFT(D739,2)) + TIMEVALUE(MID(D739,12,5))
</f>
        <v>46086.16667</v>
      </c>
      <c r="I739" s="7">
        <f t="shared" si="740"/>
        <v>46087.125</v>
      </c>
      <c r="J739" s="4">
        <f t="shared" si="3"/>
        <v>23</v>
      </c>
      <c r="K739" s="4" t="str">
        <f t="shared" si="4"/>
        <v>Within SLA</v>
      </c>
    </row>
    <row r="740">
      <c r="A740" s="1" t="s">
        <v>1379</v>
      </c>
      <c r="B740" s="1" t="s">
        <v>16</v>
      </c>
      <c r="C740" s="1" t="s">
        <v>19</v>
      </c>
      <c r="D740" s="5">
        <v>46297.291666666664</v>
      </c>
      <c r="E740" s="6" t="s">
        <v>230</v>
      </c>
      <c r="F740" s="6">
        <v>24.0</v>
      </c>
      <c r="G740" s="1" t="s">
        <v>14</v>
      </c>
      <c r="H740" s="7">
        <f t="shared" ref="H740:I740" si="741">DATE(MID(D740,7,4), MID(D740,4,2), LEFT(D740,2)) + TIMEVALUE(MID(D740,12,5))
</f>
        <v>46063.29167</v>
      </c>
      <c r="I740" s="7">
        <f t="shared" si="741"/>
        <v>46067</v>
      </c>
      <c r="J740" s="4">
        <f t="shared" si="3"/>
        <v>89</v>
      </c>
      <c r="K740" s="4" t="str">
        <f t="shared" si="4"/>
        <v>Breached</v>
      </c>
    </row>
    <row r="741">
      <c r="A741" s="1" t="s">
        <v>1380</v>
      </c>
      <c r="B741" s="1" t="s">
        <v>18</v>
      </c>
      <c r="C741" s="1" t="s">
        <v>12</v>
      </c>
      <c r="D741" s="5">
        <v>46298.916666666664</v>
      </c>
      <c r="E741" s="6" t="s">
        <v>461</v>
      </c>
      <c r="F741" s="6">
        <v>72.0</v>
      </c>
      <c r="G741" s="1" t="s">
        <v>14</v>
      </c>
      <c r="H741" s="7">
        <f t="shared" ref="H741:I741" si="742">DATE(MID(D741,7,4), MID(D741,4,2), LEFT(D741,2)) + TIMEVALUE(MID(D741,12,5))
</f>
        <v>46091.91667</v>
      </c>
      <c r="I741" s="7">
        <f t="shared" si="742"/>
        <v>46094.75</v>
      </c>
      <c r="J741" s="4">
        <f t="shared" si="3"/>
        <v>68</v>
      </c>
      <c r="K741" s="4" t="str">
        <f t="shared" si="4"/>
        <v>Within SLA</v>
      </c>
    </row>
    <row r="742">
      <c r="A742" s="1" t="s">
        <v>1381</v>
      </c>
      <c r="B742" s="1" t="s">
        <v>11</v>
      </c>
      <c r="C742" s="1" t="s">
        <v>12</v>
      </c>
      <c r="D742" s="6" t="s">
        <v>993</v>
      </c>
      <c r="E742" s="6" t="s">
        <v>1382</v>
      </c>
      <c r="F742" s="6">
        <v>72.0</v>
      </c>
      <c r="G742" s="1" t="s">
        <v>14</v>
      </c>
      <c r="H742" s="7">
        <f t="shared" ref="H742:I742" si="743">DATE(MID(D742,7,4), MID(D742,4,2), LEFT(D742,2)) + TIMEVALUE(MID(D742,12,5))
</f>
        <v>46045.54167</v>
      </c>
      <c r="I742" s="7">
        <f t="shared" si="743"/>
        <v>46046.04167</v>
      </c>
      <c r="J742" s="4">
        <f t="shared" si="3"/>
        <v>12</v>
      </c>
      <c r="K742" s="4" t="str">
        <f t="shared" si="4"/>
        <v>Within SLA</v>
      </c>
    </row>
    <row r="743">
      <c r="A743" s="1" t="s">
        <v>1383</v>
      </c>
      <c r="B743" s="1" t="s">
        <v>23</v>
      </c>
      <c r="C743" s="1" t="s">
        <v>12</v>
      </c>
      <c r="D743" s="6" t="s">
        <v>1384</v>
      </c>
      <c r="E743" s="6" t="s">
        <v>1280</v>
      </c>
      <c r="F743" s="6">
        <v>72.0</v>
      </c>
      <c r="G743" s="1" t="s">
        <v>14</v>
      </c>
      <c r="H743" s="7">
        <f t="shared" ref="H743:I743" si="744">DATE(MID(D743,7,4), MID(D743,4,2), LEFT(D743,2)) + TIMEVALUE(MID(D743,12,5))
</f>
        <v>46104.41667</v>
      </c>
      <c r="I743" s="7">
        <f t="shared" si="744"/>
        <v>46107.91667</v>
      </c>
      <c r="J743" s="4">
        <f t="shared" si="3"/>
        <v>84</v>
      </c>
      <c r="K743" s="4" t="str">
        <f t="shared" si="4"/>
        <v>Breached</v>
      </c>
    </row>
    <row r="744">
      <c r="A744" s="1" t="s">
        <v>1385</v>
      </c>
      <c r="B744" s="1" t="s">
        <v>34</v>
      </c>
      <c r="C744" s="1" t="s">
        <v>35</v>
      </c>
      <c r="D744" s="5">
        <v>46054.958333333336</v>
      </c>
      <c r="E744" s="5">
        <v>46113.791666666664</v>
      </c>
      <c r="F744" s="6">
        <v>48.0</v>
      </c>
      <c r="G744" s="1" t="s">
        <v>14</v>
      </c>
      <c r="H744" s="7">
        <f t="shared" ref="H744:I744" si="745">DATE(MID(D744,7,4), MID(D744,4,2), LEFT(D744,2)) + TIMEVALUE(MID(D744,12,5))
</f>
        <v>46024.95833</v>
      </c>
      <c r="I744" s="7">
        <f t="shared" si="745"/>
        <v>46026.79167</v>
      </c>
      <c r="J744" s="4">
        <f t="shared" si="3"/>
        <v>44</v>
      </c>
      <c r="K744" s="4" t="str">
        <f t="shared" si="4"/>
        <v>Within SLA</v>
      </c>
    </row>
    <row r="745">
      <c r="A745" s="1" t="s">
        <v>1386</v>
      </c>
      <c r="B745" s="1" t="s">
        <v>34</v>
      </c>
      <c r="C745" s="1" t="s">
        <v>35</v>
      </c>
      <c r="D745" s="6" t="s">
        <v>1387</v>
      </c>
      <c r="E745" s="5">
        <v>46024.333333333336</v>
      </c>
      <c r="F745" s="6">
        <v>48.0</v>
      </c>
      <c r="G745" s="1" t="s">
        <v>14</v>
      </c>
      <c r="H745" s="7">
        <f t="shared" ref="H745:I745" si="746">DATE(MID(D745,7,4), MID(D745,4,2), LEFT(D745,2)) + TIMEVALUE(MID(D745,12,5))
</f>
        <v>46050.95833</v>
      </c>
      <c r="I745" s="7">
        <f t="shared" si="746"/>
        <v>46054.33333</v>
      </c>
      <c r="J745" s="4">
        <f t="shared" si="3"/>
        <v>81</v>
      </c>
      <c r="K745" s="4" t="str">
        <f t="shared" si="4"/>
        <v>Breached</v>
      </c>
    </row>
    <row r="746">
      <c r="A746" s="1" t="s">
        <v>1388</v>
      </c>
      <c r="B746" s="1" t="s">
        <v>23</v>
      </c>
      <c r="C746" s="1" t="s">
        <v>19</v>
      </c>
      <c r="D746" s="5">
        <v>46023.875</v>
      </c>
      <c r="E746" s="5">
        <v>46143.25</v>
      </c>
      <c r="F746" s="6">
        <v>24.0</v>
      </c>
      <c r="G746" s="1" t="s">
        <v>14</v>
      </c>
      <c r="H746" s="7">
        <f t="shared" ref="H746:I746" si="747">DATE(MID(D746,7,4), MID(D746,4,2), LEFT(D746,2)) + TIMEVALUE(MID(D746,12,5))
</f>
        <v>46023.875</v>
      </c>
      <c r="I746" s="7">
        <f t="shared" si="747"/>
        <v>46027.25</v>
      </c>
      <c r="J746" s="4">
        <f t="shared" si="3"/>
        <v>81</v>
      </c>
      <c r="K746" s="4" t="str">
        <f t="shared" si="4"/>
        <v>Breached</v>
      </c>
    </row>
    <row r="747">
      <c r="A747" s="1" t="s">
        <v>1389</v>
      </c>
      <c r="B747" s="1" t="s">
        <v>16</v>
      </c>
      <c r="C747" s="1" t="s">
        <v>19</v>
      </c>
      <c r="D747" s="5">
        <v>46298.708333333336</v>
      </c>
      <c r="E747" s="5">
        <v>46359.25</v>
      </c>
      <c r="F747" s="6">
        <v>24.0</v>
      </c>
      <c r="G747" s="1" t="s">
        <v>14</v>
      </c>
      <c r="H747" s="7">
        <f t="shared" ref="H747:I747" si="748">DATE(MID(D747,7,4), MID(D747,4,2), LEFT(D747,2)) + TIMEVALUE(MID(D747,12,5))
</f>
        <v>46091.70833</v>
      </c>
      <c r="I747" s="7">
        <f t="shared" si="748"/>
        <v>46093.25</v>
      </c>
      <c r="J747" s="4">
        <f t="shared" si="3"/>
        <v>37</v>
      </c>
      <c r="K747" s="4" t="str">
        <f t="shared" si="4"/>
        <v>Breached</v>
      </c>
    </row>
    <row r="748">
      <c r="A748" s="1" t="s">
        <v>1390</v>
      </c>
      <c r="B748" s="1" t="s">
        <v>34</v>
      </c>
      <c r="C748" s="1" t="s">
        <v>12</v>
      </c>
      <c r="D748" s="6" t="s">
        <v>1170</v>
      </c>
      <c r="E748" s="6" t="s">
        <v>1391</v>
      </c>
      <c r="F748" s="6">
        <v>72.0</v>
      </c>
      <c r="G748" s="1" t="s">
        <v>14</v>
      </c>
      <c r="H748" s="7">
        <f t="shared" ref="H748:I748" si="749">DATE(MID(D748,7,4), MID(D748,4,2), LEFT(D748,2)) + TIMEVALUE(MID(D748,12,5))
</f>
        <v>46103.875</v>
      </c>
      <c r="I748" s="7">
        <f t="shared" si="749"/>
        <v>46107.75</v>
      </c>
      <c r="J748" s="4">
        <f t="shared" si="3"/>
        <v>93</v>
      </c>
      <c r="K748" s="4" t="str">
        <f t="shared" si="4"/>
        <v>Breached</v>
      </c>
    </row>
    <row r="749">
      <c r="A749" s="1" t="s">
        <v>1392</v>
      </c>
      <c r="B749" s="1" t="s">
        <v>11</v>
      </c>
      <c r="C749" s="1" t="s">
        <v>19</v>
      </c>
      <c r="D749" s="6" t="s">
        <v>1393</v>
      </c>
      <c r="E749" s="6" t="s">
        <v>1394</v>
      </c>
      <c r="F749" s="6">
        <v>24.0</v>
      </c>
      <c r="G749" s="1" t="s">
        <v>14</v>
      </c>
      <c r="H749" s="7">
        <f t="shared" ref="H749:I749" si="750">DATE(MID(D749,7,4), MID(D749,4,2), LEFT(D749,2)) + TIMEVALUE(MID(D749,12,5))
</f>
        <v>46040.04167</v>
      </c>
      <c r="I749" s="7">
        <f t="shared" si="750"/>
        <v>46042.70833</v>
      </c>
      <c r="J749" s="4">
        <f t="shared" si="3"/>
        <v>64</v>
      </c>
      <c r="K749" s="4" t="str">
        <f t="shared" si="4"/>
        <v>Breached</v>
      </c>
    </row>
    <row r="750">
      <c r="A750" s="1" t="s">
        <v>1395</v>
      </c>
      <c r="B750" s="1" t="s">
        <v>34</v>
      </c>
      <c r="C750" s="1" t="s">
        <v>12</v>
      </c>
      <c r="D750" s="5">
        <v>46296.25</v>
      </c>
      <c r="E750" s="6" t="s">
        <v>267</v>
      </c>
      <c r="F750" s="6">
        <v>72.0</v>
      </c>
      <c r="G750" s="1" t="s">
        <v>14</v>
      </c>
      <c r="H750" s="7">
        <f t="shared" ref="H750:I750" si="751">DATE(MID(D750,7,4), MID(D750,4,2), LEFT(D750,2)) + TIMEVALUE(MID(D750,12,5))
</f>
        <v>46032.25</v>
      </c>
      <c r="I750" s="7">
        <f t="shared" si="751"/>
        <v>46036.20833</v>
      </c>
      <c r="J750" s="4">
        <f t="shared" si="3"/>
        <v>95</v>
      </c>
      <c r="K750" s="4" t="str">
        <f t="shared" si="4"/>
        <v>Breached</v>
      </c>
    </row>
    <row r="751">
      <c r="A751" s="1" t="s">
        <v>1396</v>
      </c>
      <c r="B751" s="1" t="s">
        <v>23</v>
      </c>
      <c r="C751" s="1" t="s">
        <v>35</v>
      </c>
      <c r="D751" s="6" t="s">
        <v>1397</v>
      </c>
      <c r="E751" s="6" t="s">
        <v>162</v>
      </c>
      <c r="F751" s="6">
        <v>48.0</v>
      </c>
      <c r="G751" s="1" t="s">
        <v>14</v>
      </c>
      <c r="H751" s="7">
        <f t="shared" ref="H751:I751" si="752">DATE(MID(D751,7,4), MID(D751,4,2), LEFT(D751,2)) + TIMEVALUE(MID(D751,12,5))
</f>
        <v>46051.54167</v>
      </c>
      <c r="I751" s="7">
        <f t="shared" si="752"/>
        <v>46053</v>
      </c>
      <c r="J751" s="4">
        <f t="shared" si="3"/>
        <v>35</v>
      </c>
      <c r="K751" s="4" t="str">
        <f t="shared" si="4"/>
        <v>Within SLA</v>
      </c>
    </row>
    <row r="752">
      <c r="A752" s="1" t="s">
        <v>1398</v>
      </c>
      <c r="B752" s="1" t="s">
        <v>23</v>
      </c>
      <c r="C752" s="1" t="s">
        <v>12</v>
      </c>
      <c r="D752" s="5">
        <v>46268.666666666664</v>
      </c>
      <c r="E752" s="6" t="s">
        <v>264</v>
      </c>
      <c r="F752" s="6">
        <v>72.0</v>
      </c>
      <c r="G752" s="1" t="s">
        <v>14</v>
      </c>
      <c r="H752" s="7">
        <f t="shared" ref="H752:I752" si="753">DATE(MID(D752,7,4), MID(D752,4,2), LEFT(D752,2)) + TIMEVALUE(MID(D752,12,5))
</f>
        <v>46090.66667</v>
      </c>
      <c r="I752" s="7">
        <f t="shared" si="753"/>
        <v>46094.66667</v>
      </c>
      <c r="J752" s="4">
        <f t="shared" si="3"/>
        <v>96</v>
      </c>
      <c r="K752" s="4" t="str">
        <f t="shared" si="4"/>
        <v>Breached</v>
      </c>
    </row>
    <row r="753">
      <c r="A753" s="1" t="s">
        <v>1399</v>
      </c>
      <c r="B753" s="1" t="s">
        <v>16</v>
      </c>
      <c r="C753" s="1" t="s">
        <v>19</v>
      </c>
      <c r="D753" s="6" t="s">
        <v>1157</v>
      </c>
      <c r="E753" s="6" t="s">
        <v>1400</v>
      </c>
      <c r="F753" s="6">
        <v>24.0</v>
      </c>
      <c r="G753" s="1" t="s">
        <v>14</v>
      </c>
      <c r="H753" s="7">
        <f t="shared" ref="H753:I753" si="754">DATE(MID(D753,7,4), MID(D753,4,2), LEFT(D753,2)) + TIMEVALUE(MID(D753,12,5))
</f>
        <v>46106.125</v>
      </c>
      <c r="I753" s="7">
        <f t="shared" si="754"/>
        <v>46108.625</v>
      </c>
      <c r="J753" s="4">
        <f t="shared" si="3"/>
        <v>60</v>
      </c>
      <c r="K753" s="4" t="str">
        <f t="shared" si="4"/>
        <v>Breached</v>
      </c>
    </row>
    <row r="754">
      <c r="A754" s="1" t="s">
        <v>1401</v>
      </c>
      <c r="B754" s="1" t="s">
        <v>16</v>
      </c>
      <c r="C754" s="1" t="s">
        <v>12</v>
      </c>
      <c r="D754" s="6" t="s">
        <v>1310</v>
      </c>
      <c r="E754" s="6" t="s">
        <v>1402</v>
      </c>
      <c r="F754" s="6">
        <v>72.0</v>
      </c>
      <c r="G754" s="1" t="s">
        <v>14</v>
      </c>
      <c r="H754" s="7">
        <f t="shared" ref="H754:I754" si="755">DATE(MID(D754,7,4), MID(D754,4,2), LEFT(D754,2)) + TIMEVALUE(MID(D754,12,5))
</f>
        <v>46095.5</v>
      </c>
      <c r="I754" s="7">
        <f t="shared" si="755"/>
        <v>46097.625</v>
      </c>
      <c r="J754" s="4">
        <f t="shared" si="3"/>
        <v>51</v>
      </c>
      <c r="K754" s="4" t="str">
        <f t="shared" si="4"/>
        <v>Within SLA</v>
      </c>
    </row>
    <row r="755">
      <c r="A755" s="1" t="s">
        <v>1403</v>
      </c>
      <c r="B755" s="1" t="s">
        <v>34</v>
      </c>
      <c r="C755" s="1" t="s">
        <v>19</v>
      </c>
      <c r="D755" s="5">
        <v>46144.291666666664</v>
      </c>
      <c r="E755" s="5">
        <v>46175.208333333336</v>
      </c>
      <c r="F755" s="6">
        <v>24.0</v>
      </c>
      <c r="G755" s="1" t="s">
        <v>14</v>
      </c>
      <c r="H755" s="7">
        <f t="shared" ref="H755:I755" si="756">DATE(MID(D755,7,4), MID(D755,4,2), LEFT(D755,2)) + TIMEVALUE(MID(D755,12,5))
</f>
        <v>46058.29167</v>
      </c>
      <c r="I755" s="7">
        <f t="shared" si="756"/>
        <v>46059.20833</v>
      </c>
      <c r="J755" s="4">
        <f t="shared" si="3"/>
        <v>22</v>
      </c>
      <c r="K755" s="4" t="str">
        <f t="shared" si="4"/>
        <v>Within SLA</v>
      </c>
    </row>
    <row r="756">
      <c r="A756" s="1" t="s">
        <v>1404</v>
      </c>
      <c r="B756" s="1" t="s">
        <v>34</v>
      </c>
      <c r="C756" s="1" t="s">
        <v>12</v>
      </c>
      <c r="D756" s="6" t="s">
        <v>1405</v>
      </c>
      <c r="E756" s="6" t="s">
        <v>1406</v>
      </c>
      <c r="F756" s="6">
        <v>72.0</v>
      </c>
      <c r="G756" s="1" t="s">
        <v>14</v>
      </c>
      <c r="H756" s="7">
        <f t="shared" ref="H756:I756" si="757">DATE(MID(D756,7,4), MID(D756,4,2), LEFT(D756,2)) + TIMEVALUE(MID(D756,12,5))
</f>
        <v>46096.95833</v>
      </c>
      <c r="I756" s="7">
        <f t="shared" si="757"/>
        <v>46099.91667</v>
      </c>
      <c r="J756" s="4">
        <f t="shared" si="3"/>
        <v>71</v>
      </c>
      <c r="K756" s="4" t="str">
        <f t="shared" si="4"/>
        <v>Within SLA</v>
      </c>
    </row>
    <row r="757">
      <c r="A757" s="1" t="s">
        <v>1407</v>
      </c>
      <c r="B757" s="1" t="s">
        <v>16</v>
      </c>
      <c r="C757" s="1" t="s">
        <v>35</v>
      </c>
      <c r="D757" s="6" t="s">
        <v>520</v>
      </c>
      <c r="E757" s="6" t="s">
        <v>1408</v>
      </c>
      <c r="F757" s="6">
        <v>48.0</v>
      </c>
      <c r="G757" s="1" t="s">
        <v>14</v>
      </c>
      <c r="H757" s="7">
        <f t="shared" ref="H757:I757" si="758">DATE(MID(D757,7,4), MID(D757,4,2), LEFT(D757,2)) + TIMEVALUE(MID(D757,12,5))
</f>
        <v>46038.125</v>
      </c>
      <c r="I757" s="7">
        <f t="shared" si="758"/>
        <v>46039.08333</v>
      </c>
      <c r="J757" s="4">
        <f t="shared" si="3"/>
        <v>23</v>
      </c>
      <c r="K757" s="4" t="str">
        <f t="shared" si="4"/>
        <v>Within SLA</v>
      </c>
    </row>
    <row r="758">
      <c r="A758" s="1" t="s">
        <v>1409</v>
      </c>
      <c r="B758" s="1" t="s">
        <v>34</v>
      </c>
      <c r="C758" s="1" t="s">
        <v>19</v>
      </c>
      <c r="D758" s="5">
        <v>46025.333333333336</v>
      </c>
      <c r="E758" s="5">
        <v>46084.041666666664</v>
      </c>
      <c r="F758" s="6">
        <v>24.0</v>
      </c>
      <c r="G758" s="1" t="s">
        <v>14</v>
      </c>
      <c r="H758" s="7">
        <f t="shared" ref="H758:I758" si="759">DATE(MID(D758,7,4), MID(D758,4,2), LEFT(D758,2)) + TIMEVALUE(MID(D758,12,5))
</f>
        <v>46082.33333</v>
      </c>
      <c r="I758" s="7">
        <f t="shared" si="759"/>
        <v>46084.04167</v>
      </c>
      <c r="J758" s="4">
        <f t="shared" si="3"/>
        <v>41</v>
      </c>
      <c r="K758" s="4" t="str">
        <f t="shared" si="4"/>
        <v>Breached</v>
      </c>
    </row>
    <row r="759">
      <c r="A759" s="1" t="s">
        <v>1410</v>
      </c>
      <c r="B759" s="1" t="s">
        <v>18</v>
      </c>
      <c r="C759" s="1" t="s">
        <v>12</v>
      </c>
      <c r="D759" s="5">
        <v>46056.666666666664</v>
      </c>
      <c r="E759" s="5">
        <v>46145.958333333336</v>
      </c>
      <c r="F759" s="6">
        <v>72.0</v>
      </c>
      <c r="G759" s="1" t="s">
        <v>14</v>
      </c>
      <c r="H759" s="7">
        <f t="shared" ref="H759:I759" si="760">DATE(MID(D759,7,4), MID(D759,4,2), LEFT(D759,2)) + TIMEVALUE(MID(D759,12,5))
</f>
        <v>46083.66667</v>
      </c>
      <c r="I759" s="7">
        <f t="shared" si="760"/>
        <v>46086.95833</v>
      </c>
      <c r="J759" s="4">
        <f t="shared" si="3"/>
        <v>79</v>
      </c>
      <c r="K759" s="4" t="str">
        <f t="shared" si="4"/>
        <v>Breached</v>
      </c>
    </row>
    <row r="760">
      <c r="A760" s="1" t="s">
        <v>1411</v>
      </c>
      <c r="B760" s="1" t="s">
        <v>34</v>
      </c>
      <c r="C760" s="1" t="s">
        <v>19</v>
      </c>
      <c r="D760" s="6" t="s">
        <v>1115</v>
      </c>
      <c r="E760" s="6" t="s">
        <v>1005</v>
      </c>
      <c r="F760" s="6">
        <v>24.0</v>
      </c>
      <c r="G760" s="1" t="s">
        <v>14</v>
      </c>
      <c r="H760" s="7">
        <f t="shared" ref="H760:I760" si="761">DATE(MID(D760,7,4), MID(D760,4,2), LEFT(D760,2)) + TIMEVALUE(MID(D760,12,5))
</f>
        <v>46099.5</v>
      </c>
      <c r="I760" s="7">
        <f t="shared" si="761"/>
        <v>46103.41667</v>
      </c>
      <c r="J760" s="4">
        <f t="shared" si="3"/>
        <v>94</v>
      </c>
      <c r="K760" s="4" t="str">
        <f t="shared" si="4"/>
        <v>Breached</v>
      </c>
    </row>
    <row r="761">
      <c r="A761" s="1" t="s">
        <v>1412</v>
      </c>
      <c r="B761" s="1" t="s">
        <v>23</v>
      </c>
      <c r="C761" s="1" t="s">
        <v>35</v>
      </c>
      <c r="D761" s="5">
        <v>46054.291666666664</v>
      </c>
      <c r="E761" s="5">
        <v>46143.333333333336</v>
      </c>
      <c r="F761" s="6">
        <v>48.0</v>
      </c>
      <c r="G761" s="1" t="s">
        <v>14</v>
      </c>
      <c r="H761" s="7">
        <f t="shared" ref="H761:I761" si="762">DATE(MID(D761,7,4), MID(D761,4,2), LEFT(D761,2)) + TIMEVALUE(MID(D761,12,5))
</f>
        <v>46024.29167</v>
      </c>
      <c r="I761" s="7">
        <f t="shared" si="762"/>
        <v>46027.33333</v>
      </c>
      <c r="J761" s="4">
        <f t="shared" si="3"/>
        <v>73</v>
      </c>
      <c r="K761" s="4" t="str">
        <f t="shared" si="4"/>
        <v>Breached</v>
      </c>
    </row>
    <row r="762">
      <c r="A762" s="1" t="s">
        <v>1413</v>
      </c>
      <c r="B762" s="1" t="s">
        <v>23</v>
      </c>
      <c r="C762" s="1" t="s">
        <v>12</v>
      </c>
      <c r="D762" s="5">
        <v>46297.5</v>
      </c>
      <c r="E762" s="6" t="s">
        <v>1414</v>
      </c>
      <c r="F762" s="6">
        <v>72.0</v>
      </c>
      <c r="G762" s="1" t="s">
        <v>14</v>
      </c>
      <c r="H762" s="7">
        <f t="shared" ref="H762:I762" si="763">DATE(MID(D762,7,4), MID(D762,4,2), LEFT(D762,2)) + TIMEVALUE(MID(D762,12,5))
</f>
        <v>46063.5</v>
      </c>
      <c r="I762" s="7">
        <f t="shared" si="763"/>
        <v>46067.375</v>
      </c>
      <c r="J762" s="4">
        <f t="shared" si="3"/>
        <v>93</v>
      </c>
      <c r="K762" s="4" t="str">
        <f t="shared" si="4"/>
        <v>Breached</v>
      </c>
    </row>
    <row r="763">
      <c r="A763" s="1" t="s">
        <v>1415</v>
      </c>
      <c r="B763" s="1" t="s">
        <v>23</v>
      </c>
      <c r="C763" s="1" t="s">
        <v>35</v>
      </c>
      <c r="D763" s="5">
        <v>46143.875</v>
      </c>
      <c r="E763" s="5">
        <v>46266.666666666664</v>
      </c>
      <c r="F763" s="6">
        <v>48.0</v>
      </c>
      <c r="G763" s="1" t="s">
        <v>14</v>
      </c>
      <c r="H763" s="7">
        <f t="shared" ref="H763:I763" si="764">DATE(MID(D763,7,4), MID(D763,4,2), LEFT(D763,2)) + TIMEVALUE(MID(D763,12,5))
</f>
        <v>46027.875</v>
      </c>
      <c r="I763" s="7">
        <f t="shared" si="764"/>
        <v>46031.66667</v>
      </c>
      <c r="J763" s="4">
        <f t="shared" si="3"/>
        <v>91</v>
      </c>
      <c r="K763" s="4" t="str">
        <f t="shared" si="4"/>
        <v>Breached</v>
      </c>
    </row>
    <row r="764">
      <c r="A764" s="1" t="s">
        <v>1416</v>
      </c>
      <c r="B764" s="1" t="s">
        <v>16</v>
      </c>
      <c r="C764" s="1" t="s">
        <v>35</v>
      </c>
      <c r="D764" s="6" t="s">
        <v>1417</v>
      </c>
      <c r="E764" s="6" t="s">
        <v>990</v>
      </c>
      <c r="F764" s="6">
        <v>48.0</v>
      </c>
      <c r="G764" s="1" t="s">
        <v>14</v>
      </c>
      <c r="H764" s="7">
        <f t="shared" ref="H764:I764" si="765">DATE(MID(D764,7,4), MID(D764,4,2), LEFT(D764,2)) + TIMEVALUE(MID(D764,12,5))
</f>
        <v>46102.70833</v>
      </c>
      <c r="I764" s="7">
        <f t="shared" si="765"/>
        <v>46105.83333</v>
      </c>
      <c r="J764" s="4">
        <f t="shared" si="3"/>
        <v>75</v>
      </c>
      <c r="K764" s="4" t="str">
        <f t="shared" si="4"/>
        <v>Breached</v>
      </c>
    </row>
    <row r="765">
      <c r="A765" s="1" t="s">
        <v>1418</v>
      </c>
      <c r="B765" s="1" t="s">
        <v>34</v>
      </c>
      <c r="C765" s="1" t="s">
        <v>35</v>
      </c>
      <c r="D765" s="6" t="s">
        <v>265</v>
      </c>
      <c r="E765" s="6" t="s">
        <v>94</v>
      </c>
      <c r="F765" s="6">
        <v>48.0</v>
      </c>
      <c r="G765" s="1" t="s">
        <v>14</v>
      </c>
      <c r="H765" s="7">
        <f t="shared" ref="H765:I765" si="766">DATE(MID(D765,7,4), MID(D765,4,2), LEFT(D765,2)) + TIMEVALUE(MID(D765,12,5))
</f>
        <v>46097.58333</v>
      </c>
      <c r="I765" s="7">
        <f t="shared" si="766"/>
        <v>46099.95833</v>
      </c>
      <c r="J765" s="4">
        <f t="shared" si="3"/>
        <v>57</v>
      </c>
      <c r="K765" s="4" t="str">
        <f t="shared" si="4"/>
        <v>Breached</v>
      </c>
    </row>
    <row r="766">
      <c r="A766" s="1" t="s">
        <v>1419</v>
      </c>
      <c r="B766" s="1" t="s">
        <v>11</v>
      </c>
      <c r="C766" s="1" t="s">
        <v>19</v>
      </c>
      <c r="D766" s="5">
        <v>46329.625</v>
      </c>
      <c r="E766" s="6" t="s">
        <v>1420</v>
      </c>
      <c r="F766" s="6">
        <v>24.0</v>
      </c>
      <c r="G766" s="1" t="s">
        <v>14</v>
      </c>
      <c r="H766" s="7">
        <f t="shared" ref="H766:I766" si="767">DATE(MID(D766,7,4), MID(D766,4,2), LEFT(D766,2)) + TIMEVALUE(MID(D766,12,5))
</f>
        <v>46092.625</v>
      </c>
      <c r="I766" s="7">
        <f t="shared" si="767"/>
        <v>46094.70833</v>
      </c>
      <c r="J766" s="4">
        <f t="shared" si="3"/>
        <v>50</v>
      </c>
      <c r="K766" s="4" t="str">
        <f t="shared" si="4"/>
        <v>Breached</v>
      </c>
    </row>
    <row r="767">
      <c r="A767" s="1" t="s">
        <v>1421</v>
      </c>
      <c r="B767" s="1" t="s">
        <v>16</v>
      </c>
      <c r="C767" s="1" t="s">
        <v>12</v>
      </c>
      <c r="D767" s="6" t="s">
        <v>1422</v>
      </c>
      <c r="E767" s="6" t="s">
        <v>1423</v>
      </c>
      <c r="F767" s="6">
        <v>72.0</v>
      </c>
      <c r="G767" s="1" t="s">
        <v>14</v>
      </c>
      <c r="H767" s="7">
        <f t="shared" ref="H767:I767" si="768">DATE(MID(D767,7,4), MID(D767,4,2), LEFT(D767,2)) + TIMEVALUE(MID(D767,12,5))
</f>
        <v>46041.5</v>
      </c>
      <c r="I767" s="7">
        <f t="shared" si="768"/>
        <v>46043.125</v>
      </c>
      <c r="J767" s="4">
        <f t="shared" si="3"/>
        <v>39</v>
      </c>
      <c r="K767" s="4" t="str">
        <f t="shared" si="4"/>
        <v>Within SLA</v>
      </c>
    </row>
    <row r="768">
      <c r="A768" s="1" t="s">
        <v>1424</v>
      </c>
      <c r="B768" s="1" t="s">
        <v>16</v>
      </c>
      <c r="C768" s="1" t="s">
        <v>35</v>
      </c>
      <c r="D768" s="6" t="s">
        <v>1425</v>
      </c>
      <c r="E768" s="6" t="s">
        <v>1426</v>
      </c>
      <c r="F768" s="6">
        <v>48.0</v>
      </c>
      <c r="G768" s="1" t="s">
        <v>14</v>
      </c>
      <c r="H768" s="7">
        <f t="shared" ref="H768:I768" si="769">DATE(MID(D768,7,4), MID(D768,4,2), LEFT(D768,2)) + TIMEVALUE(MID(D768,12,5))
</f>
        <v>46078.79167</v>
      </c>
      <c r="I768" s="7">
        <f t="shared" si="769"/>
        <v>46079.41667</v>
      </c>
      <c r="J768" s="4">
        <f t="shared" si="3"/>
        <v>15</v>
      </c>
      <c r="K768" s="4" t="str">
        <f t="shared" si="4"/>
        <v>Within SLA</v>
      </c>
    </row>
    <row r="769">
      <c r="A769" s="1" t="s">
        <v>1427</v>
      </c>
      <c r="B769" s="1" t="s">
        <v>34</v>
      </c>
      <c r="C769" s="1" t="s">
        <v>12</v>
      </c>
      <c r="D769" s="6" t="s">
        <v>312</v>
      </c>
      <c r="E769" s="6" t="s">
        <v>1303</v>
      </c>
      <c r="F769" s="6">
        <v>72.0</v>
      </c>
      <c r="G769" s="1" t="s">
        <v>14</v>
      </c>
      <c r="H769" s="7">
        <f t="shared" ref="H769:I769" si="770">DATE(MID(D769,7,4), MID(D769,4,2), LEFT(D769,2)) + TIMEVALUE(MID(D769,12,5))
</f>
        <v>46072.5</v>
      </c>
      <c r="I769" s="7">
        <f t="shared" si="770"/>
        <v>46073.875</v>
      </c>
      <c r="J769" s="4">
        <f t="shared" si="3"/>
        <v>33</v>
      </c>
      <c r="K769" s="4" t="str">
        <f t="shared" si="4"/>
        <v>Within SLA</v>
      </c>
    </row>
    <row r="770">
      <c r="A770" s="1" t="s">
        <v>1428</v>
      </c>
      <c r="B770" s="1" t="s">
        <v>18</v>
      </c>
      <c r="C770" s="1" t="s">
        <v>35</v>
      </c>
      <c r="D770" s="6" t="s">
        <v>708</v>
      </c>
      <c r="E770" s="6" t="s">
        <v>81</v>
      </c>
      <c r="F770" s="6">
        <v>48.0</v>
      </c>
      <c r="G770" s="1" t="s">
        <v>14</v>
      </c>
      <c r="H770" s="7">
        <f t="shared" ref="H770:I770" si="771">DATE(MID(D770,7,4), MID(D770,4,2), LEFT(D770,2)) + TIMEVALUE(MID(D770,12,5))
</f>
        <v>46078.41667</v>
      </c>
      <c r="I770" s="7">
        <f t="shared" si="771"/>
        <v>46079.95833</v>
      </c>
      <c r="J770" s="4">
        <f t="shared" si="3"/>
        <v>37</v>
      </c>
      <c r="K770" s="4" t="str">
        <f t="shared" si="4"/>
        <v>Within SLA</v>
      </c>
    </row>
    <row r="771">
      <c r="A771" s="1" t="s">
        <v>1429</v>
      </c>
      <c r="B771" s="1" t="s">
        <v>18</v>
      </c>
      <c r="C771" s="1" t="s">
        <v>12</v>
      </c>
      <c r="D771" s="6" t="s">
        <v>1430</v>
      </c>
      <c r="E771" s="6" t="s">
        <v>125</v>
      </c>
      <c r="F771" s="6">
        <v>72.0</v>
      </c>
      <c r="G771" s="1" t="s">
        <v>14</v>
      </c>
      <c r="H771" s="7">
        <f t="shared" ref="H771:I771" si="772">DATE(MID(D771,7,4), MID(D771,4,2), LEFT(D771,2)) + TIMEVALUE(MID(D771,12,5))
</f>
        <v>46074.25</v>
      </c>
      <c r="I771" s="7">
        <f t="shared" si="772"/>
        <v>46076.04167</v>
      </c>
      <c r="J771" s="4">
        <f t="shared" si="3"/>
        <v>43</v>
      </c>
      <c r="K771" s="4" t="str">
        <f t="shared" si="4"/>
        <v>Within SLA</v>
      </c>
    </row>
    <row r="772">
      <c r="A772" s="1" t="s">
        <v>1431</v>
      </c>
      <c r="B772" s="1" t="s">
        <v>18</v>
      </c>
      <c r="C772" s="1" t="s">
        <v>35</v>
      </c>
      <c r="D772" s="5">
        <v>46298.375</v>
      </c>
      <c r="E772" s="6" t="s">
        <v>1347</v>
      </c>
      <c r="F772" s="6">
        <v>48.0</v>
      </c>
      <c r="G772" s="1" t="s">
        <v>14</v>
      </c>
      <c r="H772" s="7">
        <f t="shared" ref="H772:I772" si="773">DATE(MID(D772,7,4), MID(D772,4,2), LEFT(D772,2)) + TIMEVALUE(MID(D772,12,5))
</f>
        <v>46091.375</v>
      </c>
      <c r="I772" s="7">
        <f t="shared" si="773"/>
        <v>46094.875</v>
      </c>
      <c r="J772" s="4">
        <f t="shared" si="3"/>
        <v>84</v>
      </c>
      <c r="K772" s="4" t="str">
        <f t="shared" si="4"/>
        <v>Breached</v>
      </c>
    </row>
    <row r="773">
      <c r="A773" s="1" t="s">
        <v>1432</v>
      </c>
      <c r="B773" s="1" t="s">
        <v>11</v>
      </c>
      <c r="C773" s="1" t="s">
        <v>19</v>
      </c>
      <c r="D773" s="6" t="s">
        <v>899</v>
      </c>
      <c r="E773" s="6" t="s">
        <v>1433</v>
      </c>
      <c r="F773" s="6">
        <v>24.0</v>
      </c>
      <c r="G773" s="1" t="s">
        <v>14</v>
      </c>
      <c r="H773" s="7">
        <f t="shared" ref="H773:I773" si="774">DATE(MID(D773,7,4), MID(D773,4,2), LEFT(D773,2)) + TIMEVALUE(MID(D773,12,5))
</f>
        <v>46040.33333</v>
      </c>
      <c r="I773" s="7">
        <f t="shared" si="774"/>
        <v>46042.83333</v>
      </c>
      <c r="J773" s="4">
        <f t="shared" si="3"/>
        <v>60</v>
      </c>
      <c r="K773" s="4" t="str">
        <f t="shared" si="4"/>
        <v>Breached</v>
      </c>
    </row>
    <row r="774">
      <c r="A774" s="1" t="s">
        <v>1434</v>
      </c>
      <c r="B774" s="1" t="s">
        <v>23</v>
      </c>
      <c r="C774" s="1" t="s">
        <v>35</v>
      </c>
      <c r="D774" s="6" t="s">
        <v>1435</v>
      </c>
      <c r="E774" s="6" t="s">
        <v>501</v>
      </c>
      <c r="F774" s="6">
        <v>48.0</v>
      </c>
      <c r="G774" s="1" t="s">
        <v>14</v>
      </c>
      <c r="H774" s="7">
        <f t="shared" ref="H774:I774" si="775">DATE(MID(D774,7,4), MID(D774,4,2), LEFT(D774,2)) + TIMEVALUE(MID(D774,12,5))
</f>
        <v>46100.08333</v>
      </c>
      <c r="I774" s="7">
        <f t="shared" si="775"/>
        <v>46103.375</v>
      </c>
      <c r="J774" s="4">
        <f t="shared" si="3"/>
        <v>79</v>
      </c>
      <c r="K774" s="4" t="str">
        <f t="shared" si="4"/>
        <v>Breached</v>
      </c>
    </row>
    <row r="775">
      <c r="A775" s="1" t="s">
        <v>1436</v>
      </c>
      <c r="B775" s="1" t="s">
        <v>11</v>
      </c>
      <c r="C775" s="1" t="s">
        <v>19</v>
      </c>
      <c r="D775" s="6" t="s">
        <v>1437</v>
      </c>
      <c r="E775" s="6" t="s">
        <v>1438</v>
      </c>
      <c r="F775" s="6">
        <v>24.0</v>
      </c>
      <c r="G775" s="1" t="s">
        <v>14</v>
      </c>
      <c r="H775" s="7">
        <f t="shared" ref="H775:I775" si="776">DATE(MID(D775,7,4), MID(D775,4,2), LEFT(D775,2)) + TIMEVALUE(MID(D775,12,5))
</f>
        <v>46068.91667</v>
      </c>
      <c r="I775" s="7">
        <f t="shared" si="776"/>
        <v>46071.79167</v>
      </c>
      <c r="J775" s="4">
        <f t="shared" si="3"/>
        <v>69</v>
      </c>
      <c r="K775" s="4" t="str">
        <f t="shared" si="4"/>
        <v>Breached</v>
      </c>
    </row>
    <row r="776">
      <c r="A776" s="1" t="s">
        <v>1439</v>
      </c>
      <c r="B776" s="1" t="s">
        <v>18</v>
      </c>
      <c r="C776" s="1" t="s">
        <v>19</v>
      </c>
      <c r="D776" s="6" t="s">
        <v>1440</v>
      </c>
      <c r="E776" s="5">
        <v>46056.333333333336</v>
      </c>
      <c r="F776" s="6">
        <v>24.0</v>
      </c>
      <c r="G776" s="1" t="s">
        <v>14</v>
      </c>
      <c r="H776" s="7">
        <f t="shared" ref="H776:I776" si="777">DATE(MID(D776,7,4), MID(D776,4,2), LEFT(D776,2)) + TIMEVALUE(MID(D776,12,5))
</f>
        <v>46081.125</v>
      </c>
      <c r="I776" s="7">
        <f t="shared" si="777"/>
        <v>46083.33333</v>
      </c>
      <c r="J776" s="4">
        <f t="shared" si="3"/>
        <v>53</v>
      </c>
      <c r="K776" s="4" t="str">
        <f t="shared" si="4"/>
        <v>Breached</v>
      </c>
    </row>
    <row r="777">
      <c r="A777" s="1" t="s">
        <v>1441</v>
      </c>
      <c r="B777" s="1" t="s">
        <v>23</v>
      </c>
      <c r="C777" s="1" t="s">
        <v>12</v>
      </c>
      <c r="D777" s="5">
        <v>46298.458333333336</v>
      </c>
      <c r="E777" s="5">
        <v>46329.25</v>
      </c>
      <c r="F777" s="6">
        <v>72.0</v>
      </c>
      <c r="G777" s="1" t="s">
        <v>14</v>
      </c>
      <c r="H777" s="7">
        <f t="shared" ref="H777:I777" si="778">DATE(MID(D777,7,4), MID(D777,4,2), LEFT(D777,2)) + TIMEVALUE(MID(D777,12,5))
</f>
        <v>46091.45833</v>
      </c>
      <c r="I777" s="7">
        <f t="shared" si="778"/>
        <v>46092.25</v>
      </c>
      <c r="J777" s="4">
        <f t="shared" si="3"/>
        <v>19</v>
      </c>
      <c r="K777" s="4" t="str">
        <f t="shared" si="4"/>
        <v>Within SLA</v>
      </c>
    </row>
    <row r="778">
      <c r="A778" s="1" t="s">
        <v>1442</v>
      </c>
      <c r="B778" s="1" t="s">
        <v>18</v>
      </c>
      <c r="C778" s="1" t="s">
        <v>35</v>
      </c>
      <c r="D778" s="5">
        <v>46175.0</v>
      </c>
      <c r="E778" s="5">
        <v>46205.25</v>
      </c>
      <c r="F778" s="6">
        <v>48.0</v>
      </c>
      <c r="G778" s="1" t="s">
        <v>14</v>
      </c>
      <c r="H778" s="7">
        <f t="shared" ref="H778:I778" si="779">DATE(MID(D778,7,4), MID(D778,4,2), LEFT(D778,2)) + TIMEVALUE(MID(D778,12,5))
</f>
        <v>46059</v>
      </c>
      <c r="I778" s="7">
        <f t="shared" si="779"/>
        <v>46060.25</v>
      </c>
      <c r="J778" s="4">
        <f t="shared" si="3"/>
        <v>30</v>
      </c>
      <c r="K778" s="4" t="str">
        <f t="shared" si="4"/>
        <v>Within SLA</v>
      </c>
    </row>
    <row r="779">
      <c r="A779" s="1" t="s">
        <v>1443</v>
      </c>
      <c r="B779" s="1" t="s">
        <v>16</v>
      </c>
      <c r="C779" s="1" t="s">
        <v>19</v>
      </c>
      <c r="D779" s="6" t="s">
        <v>13</v>
      </c>
      <c r="E779" s="6" t="s">
        <v>1186</v>
      </c>
      <c r="F779" s="6">
        <v>24.0</v>
      </c>
      <c r="G779" s="1" t="s">
        <v>14</v>
      </c>
      <c r="H779" s="7">
        <f t="shared" ref="H779:I779" si="780">DATE(MID(D779,7,4), MID(D779,4,2), LEFT(D779,2)) + TIMEVALUE(MID(D779,12,5))
</f>
        <v>46069.04167</v>
      </c>
      <c r="I779" s="7">
        <f t="shared" si="780"/>
        <v>46071.45833</v>
      </c>
      <c r="J779" s="4">
        <f t="shared" si="3"/>
        <v>58</v>
      </c>
      <c r="K779" s="4" t="str">
        <f t="shared" si="4"/>
        <v>Breached</v>
      </c>
    </row>
    <row r="780">
      <c r="A780" s="1" t="s">
        <v>1444</v>
      </c>
      <c r="B780" s="1" t="s">
        <v>18</v>
      </c>
      <c r="C780" s="1" t="s">
        <v>12</v>
      </c>
      <c r="D780" s="6" t="s">
        <v>1445</v>
      </c>
      <c r="E780" s="6" t="s">
        <v>131</v>
      </c>
      <c r="F780" s="6">
        <v>72.0</v>
      </c>
      <c r="G780" s="1" t="s">
        <v>14</v>
      </c>
      <c r="H780" s="7">
        <f t="shared" ref="H780:I780" si="781">DATE(MID(D780,7,4), MID(D780,4,2), LEFT(D780,2)) + TIMEVALUE(MID(D780,12,5))
</f>
        <v>46037.875</v>
      </c>
      <c r="I780" s="7">
        <f t="shared" si="781"/>
        <v>46041.08333</v>
      </c>
      <c r="J780" s="4">
        <f t="shared" si="3"/>
        <v>77</v>
      </c>
      <c r="K780" s="4" t="str">
        <f t="shared" si="4"/>
        <v>Breached</v>
      </c>
    </row>
    <row r="781">
      <c r="A781" s="1" t="s">
        <v>1446</v>
      </c>
      <c r="B781" s="1" t="s">
        <v>11</v>
      </c>
      <c r="C781" s="1" t="s">
        <v>35</v>
      </c>
      <c r="D781" s="5">
        <v>46327.541666666664</v>
      </c>
      <c r="E781" s="5">
        <v>46357.208333333336</v>
      </c>
      <c r="F781" s="6">
        <v>48.0</v>
      </c>
      <c r="G781" s="1" t="s">
        <v>14</v>
      </c>
      <c r="H781" s="7">
        <f t="shared" ref="H781:I781" si="782">DATE(MID(D781,7,4), MID(D781,4,2), LEFT(D781,2)) + TIMEVALUE(MID(D781,12,5))
</f>
        <v>46033.54167</v>
      </c>
      <c r="I781" s="7">
        <f t="shared" si="782"/>
        <v>46034.20833</v>
      </c>
      <c r="J781" s="4">
        <f t="shared" si="3"/>
        <v>16</v>
      </c>
      <c r="K781" s="4" t="str">
        <f t="shared" si="4"/>
        <v>Within SLA</v>
      </c>
    </row>
    <row r="782">
      <c r="A782" s="1" t="s">
        <v>1447</v>
      </c>
      <c r="B782" s="1" t="s">
        <v>34</v>
      </c>
      <c r="C782" s="1" t="s">
        <v>19</v>
      </c>
      <c r="D782" s="5">
        <v>46329.833333333336</v>
      </c>
      <c r="E782" s="6" t="s">
        <v>802</v>
      </c>
      <c r="F782" s="6">
        <v>24.0</v>
      </c>
      <c r="G782" s="1" t="s">
        <v>14</v>
      </c>
      <c r="H782" s="7">
        <f t="shared" ref="H782:I782" si="783">DATE(MID(D782,7,4), MID(D782,4,2), LEFT(D782,2)) + TIMEVALUE(MID(D782,12,5))
</f>
        <v>46092.83333</v>
      </c>
      <c r="I782" s="7">
        <f t="shared" si="783"/>
        <v>46094</v>
      </c>
      <c r="J782" s="4">
        <f t="shared" si="3"/>
        <v>28</v>
      </c>
      <c r="K782" s="4" t="str">
        <f t="shared" si="4"/>
        <v>Breached</v>
      </c>
    </row>
    <row r="783">
      <c r="A783" s="1" t="s">
        <v>1448</v>
      </c>
      <c r="B783" s="1" t="s">
        <v>23</v>
      </c>
      <c r="C783" s="1" t="s">
        <v>12</v>
      </c>
      <c r="D783" s="6" t="s">
        <v>1449</v>
      </c>
      <c r="E783" s="6" t="s">
        <v>1450</v>
      </c>
      <c r="F783" s="6">
        <v>72.0</v>
      </c>
      <c r="G783" s="1" t="s">
        <v>14</v>
      </c>
      <c r="H783" s="7">
        <f t="shared" ref="H783:I783" si="784">DATE(MID(D783,7,4), MID(D783,4,2), LEFT(D783,2)) + TIMEVALUE(MID(D783,12,5))
</f>
        <v>46039.33333</v>
      </c>
      <c r="I783" s="7">
        <f t="shared" si="784"/>
        <v>46041.16667</v>
      </c>
      <c r="J783" s="4">
        <f t="shared" si="3"/>
        <v>44</v>
      </c>
      <c r="K783" s="4" t="str">
        <f t="shared" si="4"/>
        <v>Within SLA</v>
      </c>
    </row>
    <row r="784">
      <c r="A784" s="1" t="s">
        <v>1451</v>
      </c>
      <c r="B784" s="1" t="s">
        <v>16</v>
      </c>
      <c r="C784" s="1" t="s">
        <v>12</v>
      </c>
      <c r="D784" s="5">
        <v>46297.666666666664</v>
      </c>
      <c r="E784" s="5">
        <v>46358.916666666664</v>
      </c>
      <c r="F784" s="6">
        <v>72.0</v>
      </c>
      <c r="G784" s="1" t="s">
        <v>14</v>
      </c>
      <c r="H784" s="7">
        <f t="shared" ref="H784:I784" si="785">DATE(MID(D784,7,4), MID(D784,4,2), LEFT(D784,2)) + TIMEVALUE(MID(D784,12,5))
</f>
        <v>46063.66667</v>
      </c>
      <c r="I784" s="7">
        <f t="shared" si="785"/>
        <v>46065.91667</v>
      </c>
      <c r="J784" s="4">
        <f t="shared" si="3"/>
        <v>54</v>
      </c>
      <c r="K784" s="4" t="str">
        <f t="shared" si="4"/>
        <v>Within SLA</v>
      </c>
    </row>
    <row r="785">
      <c r="A785" s="1" t="s">
        <v>1452</v>
      </c>
      <c r="B785" s="1" t="s">
        <v>34</v>
      </c>
      <c r="C785" s="1" t="s">
        <v>12</v>
      </c>
      <c r="D785" s="6" t="s">
        <v>1229</v>
      </c>
      <c r="E785" s="6" t="s">
        <v>1453</v>
      </c>
      <c r="F785" s="6">
        <v>72.0</v>
      </c>
      <c r="G785" s="1" t="s">
        <v>14</v>
      </c>
      <c r="H785" s="7">
        <f t="shared" ref="H785:I785" si="786">DATE(MID(D785,7,4), MID(D785,4,2), LEFT(D785,2)) + TIMEVALUE(MID(D785,12,5))
</f>
        <v>46105.125</v>
      </c>
      <c r="I785" s="7">
        <f t="shared" si="786"/>
        <v>46105.70833</v>
      </c>
      <c r="J785" s="4">
        <f t="shared" si="3"/>
        <v>14</v>
      </c>
      <c r="K785" s="4" t="str">
        <f t="shared" si="4"/>
        <v>Within SLA</v>
      </c>
    </row>
    <row r="786">
      <c r="A786" s="1" t="s">
        <v>1454</v>
      </c>
      <c r="B786" s="1" t="s">
        <v>18</v>
      </c>
      <c r="C786" s="1" t="s">
        <v>12</v>
      </c>
      <c r="D786" s="5">
        <v>46025.0</v>
      </c>
      <c r="E786" s="5">
        <v>46084.0</v>
      </c>
      <c r="F786" s="6">
        <v>72.0</v>
      </c>
      <c r="G786" s="1" t="s">
        <v>14</v>
      </c>
      <c r="H786" s="7">
        <f t="shared" ref="H786:I786" si="787">DATE(MID(D786,7,4), MID(D786,4,2), LEFT(D786,2)) + TIMEVALUE(MID(D786,12,5))
</f>
        <v>46082</v>
      </c>
      <c r="I786" s="7">
        <f t="shared" si="787"/>
        <v>46084</v>
      </c>
      <c r="J786" s="4">
        <f t="shared" si="3"/>
        <v>48</v>
      </c>
      <c r="K786" s="4" t="str">
        <f t="shared" si="4"/>
        <v>Within SLA</v>
      </c>
    </row>
    <row r="787">
      <c r="A787" s="1" t="s">
        <v>1455</v>
      </c>
      <c r="B787" s="1" t="s">
        <v>23</v>
      </c>
      <c r="C787" s="1" t="s">
        <v>35</v>
      </c>
      <c r="D787" s="6" t="s">
        <v>1456</v>
      </c>
      <c r="E787" s="6" t="s">
        <v>1457</v>
      </c>
      <c r="F787" s="6">
        <v>48.0</v>
      </c>
      <c r="G787" s="1" t="s">
        <v>14</v>
      </c>
      <c r="H787" s="7">
        <f t="shared" ref="H787:I787" si="788">DATE(MID(D787,7,4), MID(D787,4,2), LEFT(D787,2)) + TIMEVALUE(MID(D787,12,5))
</f>
        <v>46095.16667</v>
      </c>
      <c r="I787" s="7">
        <f t="shared" si="788"/>
        <v>46095.83333</v>
      </c>
      <c r="J787" s="4">
        <f t="shared" si="3"/>
        <v>16</v>
      </c>
      <c r="K787" s="4" t="str">
        <f t="shared" si="4"/>
        <v>Within SLA</v>
      </c>
    </row>
    <row r="788">
      <c r="A788" s="1" t="s">
        <v>1458</v>
      </c>
      <c r="B788" s="1" t="s">
        <v>11</v>
      </c>
      <c r="C788" s="1" t="s">
        <v>35</v>
      </c>
      <c r="D788" s="5">
        <v>46327.333333333336</v>
      </c>
      <c r="E788" s="6" t="s">
        <v>1459</v>
      </c>
      <c r="F788" s="6">
        <v>48.0</v>
      </c>
      <c r="G788" s="1" t="s">
        <v>14</v>
      </c>
      <c r="H788" s="7">
        <f t="shared" ref="H788:I788" si="789">DATE(MID(D788,7,4), MID(D788,4,2), LEFT(D788,2)) + TIMEVALUE(MID(D788,12,5))
</f>
        <v>46033.33333</v>
      </c>
      <c r="I788" s="7">
        <f t="shared" si="789"/>
        <v>46036.41667</v>
      </c>
      <c r="J788" s="4">
        <f t="shared" si="3"/>
        <v>74</v>
      </c>
      <c r="K788" s="4" t="str">
        <f t="shared" si="4"/>
        <v>Breached</v>
      </c>
    </row>
    <row r="789">
      <c r="A789" s="1" t="s">
        <v>1460</v>
      </c>
      <c r="B789" s="1" t="s">
        <v>11</v>
      </c>
      <c r="C789" s="1" t="s">
        <v>19</v>
      </c>
      <c r="D789" s="6" t="s">
        <v>1027</v>
      </c>
      <c r="E789" s="6" t="s">
        <v>1461</v>
      </c>
      <c r="F789" s="6">
        <v>24.0</v>
      </c>
      <c r="G789" s="1" t="s">
        <v>14</v>
      </c>
      <c r="H789" s="7">
        <f t="shared" ref="H789:I789" si="790">DATE(MID(D789,7,4), MID(D789,4,2), LEFT(D789,2)) + TIMEVALUE(MID(D789,12,5))
</f>
        <v>46073.54167</v>
      </c>
      <c r="I789" s="7">
        <f t="shared" si="790"/>
        <v>46074.29167</v>
      </c>
      <c r="J789" s="4">
        <f t="shared" si="3"/>
        <v>18</v>
      </c>
      <c r="K789" s="4" t="str">
        <f t="shared" si="4"/>
        <v>Within SLA</v>
      </c>
    </row>
    <row r="790">
      <c r="A790" s="1" t="s">
        <v>1462</v>
      </c>
      <c r="B790" s="1" t="s">
        <v>18</v>
      </c>
      <c r="C790" s="1" t="s">
        <v>12</v>
      </c>
      <c r="D790" s="6" t="s">
        <v>1463</v>
      </c>
      <c r="E790" s="6" t="s">
        <v>1464</v>
      </c>
      <c r="F790" s="6">
        <v>72.0</v>
      </c>
      <c r="G790" s="1" t="s">
        <v>14</v>
      </c>
      <c r="H790" s="7">
        <f t="shared" ref="H790:I790" si="791">DATE(MID(D790,7,4), MID(D790,4,2), LEFT(D790,2)) + TIMEVALUE(MID(D790,12,5))
</f>
        <v>46051.91667</v>
      </c>
      <c r="I790" s="7">
        <f t="shared" si="791"/>
        <v>46052.95833</v>
      </c>
      <c r="J790" s="4">
        <f t="shared" si="3"/>
        <v>25</v>
      </c>
      <c r="K790" s="4" t="str">
        <f t="shared" si="4"/>
        <v>Within SLA</v>
      </c>
    </row>
    <row r="791">
      <c r="A791" s="1" t="s">
        <v>1465</v>
      </c>
      <c r="B791" s="1" t="s">
        <v>11</v>
      </c>
      <c r="C791" s="1" t="s">
        <v>35</v>
      </c>
      <c r="D791" s="6" t="s">
        <v>1466</v>
      </c>
      <c r="E791" s="6" t="s">
        <v>46</v>
      </c>
      <c r="F791" s="6">
        <v>48.0</v>
      </c>
      <c r="G791" s="1" t="s">
        <v>14</v>
      </c>
      <c r="H791" s="7">
        <f t="shared" ref="H791:I791" si="792">DATE(MID(D791,7,4), MID(D791,4,2), LEFT(D791,2)) + TIMEVALUE(MID(D791,12,5))
</f>
        <v>46067.20833</v>
      </c>
      <c r="I791" s="7">
        <f t="shared" si="792"/>
        <v>46067.79167</v>
      </c>
      <c r="J791" s="4">
        <f t="shared" si="3"/>
        <v>14</v>
      </c>
      <c r="K791" s="4" t="str">
        <f t="shared" si="4"/>
        <v>Within SLA</v>
      </c>
    </row>
    <row r="792">
      <c r="A792" s="1" t="s">
        <v>1467</v>
      </c>
      <c r="B792" s="1" t="s">
        <v>34</v>
      </c>
      <c r="C792" s="1" t="s">
        <v>35</v>
      </c>
      <c r="D792" s="5">
        <v>46205.958333333336</v>
      </c>
      <c r="E792" s="5">
        <v>46297.041666666664</v>
      </c>
      <c r="F792" s="6">
        <v>48.0</v>
      </c>
      <c r="G792" s="1" t="s">
        <v>14</v>
      </c>
      <c r="H792" s="7">
        <f t="shared" ref="H792:I792" si="793">DATE(MID(D792,7,4), MID(D792,4,2), LEFT(D792,2)) + TIMEVALUE(MID(D792,12,5))
</f>
        <v>46060.95833</v>
      </c>
      <c r="I792" s="7">
        <f t="shared" si="793"/>
        <v>46063.04167</v>
      </c>
      <c r="J792" s="4">
        <f t="shared" si="3"/>
        <v>50</v>
      </c>
      <c r="K792" s="4" t="str">
        <f t="shared" si="4"/>
        <v>Breached</v>
      </c>
    </row>
    <row r="793">
      <c r="A793" s="1" t="s">
        <v>1468</v>
      </c>
      <c r="B793" s="1" t="s">
        <v>18</v>
      </c>
      <c r="C793" s="1" t="s">
        <v>35</v>
      </c>
      <c r="D793" s="6" t="s">
        <v>1153</v>
      </c>
      <c r="E793" s="6" t="s">
        <v>1469</v>
      </c>
      <c r="F793" s="6">
        <v>48.0</v>
      </c>
      <c r="G793" s="1" t="s">
        <v>14</v>
      </c>
      <c r="H793" s="7">
        <f t="shared" ref="H793:I793" si="794">DATE(MID(D793,7,4), MID(D793,4,2), LEFT(D793,2)) + TIMEVALUE(MID(D793,12,5))
</f>
        <v>46066.91667</v>
      </c>
      <c r="I793" s="7">
        <f t="shared" si="794"/>
        <v>46069.25</v>
      </c>
      <c r="J793" s="4">
        <f t="shared" si="3"/>
        <v>56</v>
      </c>
      <c r="K793" s="4" t="str">
        <f t="shared" si="4"/>
        <v>Breached</v>
      </c>
    </row>
    <row r="794">
      <c r="A794" s="1" t="s">
        <v>1470</v>
      </c>
      <c r="B794" s="1" t="s">
        <v>18</v>
      </c>
      <c r="C794" s="1" t="s">
        <v>12</v>
      </c>
      <c r="D794" s="5">
        <v>46297.625</v>
      </c>
      <c r="E794" s="6" t="s">
        <v>1471</v>
      </c>
      <c r="F794" s="6">
        <v>72.0</v>
      </c>
      <c r="G794" s="1" t="s">
        <v>14</v>
      </c>
      <c r="H794" s="7">
        <f t="shared" ref="H794:I794" si="795">DATE(MID(D794,7,4), MID(D794,4,2), LEFT(D794,2)) + TIMEVALUE(MID(D794,12,5))
</f>
        <v>46063.625</v>
      </c>
      <c r="I794" s="7">
        <f t="shared" si="795"/>
        <v>46066</v>
      </c>
      <c r="J794" s="4">
        <f t="shared" si="3"/>
        <v>57</v>
      </c>
      <c r="K794" s="4" t="str">
        <f t="shared" si="4"/>
        <v>Within SLA</v>
      </c>
    </row>
    <row r="795">
      <c r="A795" s="1" t="s">
        <v>1472</v>
      </c>
      <c r="B795" s="1" t="s">
        <v>11</v>
      </c>
      <c r="C795" s="1" t="s">
        <v>19</v>
      </c>
      <c r="D795" s="6" t="s">
        <v>922</v>
      </c>
      <c r="E795" s="6" t="s">
        <v>356</v>
      </c>
      <c r="F795" s="6">
        <v>24.0</v>
      </c>
      <c r="G795" s="1" t="s">
        <v>14</v>
      </c>
      <c r="H795" s="7">
        <f t="shared" ref="H795:I795" si="796">DATE(MID(D795,7,4), MID(D795,4,2), LEFT(D795,2)) + TIMEVALUE(MID(D795,12,5))
</f>
        <v>46044.08333</v>
      </c>
      <c r="I795" s="7">
        <f t="shared" si="796"/>
        <v>46046.83333</v>
      </c>
      <c r="J795" s="4">
        <f t="shared" si="3"/>
        <v>66</v>
      </c>
      <c r="K795" s="4" t="str">
        <f t="shared" si="4"/>
        <v>Breached</v>
      </c>
    </row>
    <row r="796">
      <c r="A796" s="1" t="s">
        <v>1473</v>
      </c>
      <c r="B796" s="1" t="s">
        <v>18</v>
      </c>
      <c r="C796" s="1" t="s">
        <v>19</v>
      </c>
      <c r="D796" s="5">
        <v>46175.541666666664</v>
      </c>
      <c r="E796" s="5">
        <v>46267.708333333336</v>
      </c>
      <c r="F796" s="6">
        <v>24.0</v>
      </c>
      <c r="G796" s="1" t="s">
        <v>14</v>
      </c>
      <c r="H796" s="7">
        <f t="shared" ref="H796:I796" si="797">DATE(MID(D796,7,4), MID(D796,4,2), LEFT(D796,2)) + TIMEVALUE(MID(D796,12,5))
</f>
        <v>46059.54167</v>
      </c>
      <c r="I796" s="7">
        <f t="shared" si="797"/>
        <v>46062.70833</v>
      </c>
      <c r="J796" s="4">
        <f t="shared" si="3"/>
        <v>76</v>
      </c>
      <c r="K796" s="4" t="str">
        <f t="shared" si="4"/>
        <v>Breached</v>
      </c>
    </row>
    <row r="797">
      <c r="A797" s="1" t="s">
        <v>1474</v>
      </c>
      <c r="B797" s="1" t="s">
        <v>34</v>
      </c>
      <c r="C797" s="1" t="s">
        <v>19</v>
      </c>
      <c r="D797" s="5">
        <v>46296.416666666664</v>
      </c>
      <c r="E797" s="5">
        <v>46296.916666666664</v>
      </c>
      <c r="F797" s="6">
        <v>24.0</v>
      </c>
      <c r="G797" s="1" t="s">
        <v>14</v>
      </c>
      <c r="H797" s="7">
        <f t="shared" ref="H797:I797" si="798">DATE(MID(D797,7,4), MID(D797,4,2), LEFT(D797,2)) + TIMEVALUE(MID(D797,12,5))
</f>
        <v>46032.41667</v>
      </c>
      <c r="I797" s="7">
        <f t="shared" si="798"/>
        <v>46032.91667</v>
      </c>
      <c r="J797" s="4">
        <f t="shared" si="3"/>
        <v>12</v>
      </c>
      <c r="K797" s="4" t="str">
        <f t="shared" si="4"/>
        <v>Within SLA</v>
      </c>
    </row>
    <row r="798">
      <c r="A798" s="1" t="s">
        <v>1475</v>
      </c>
      <c r="B798" s="1" t="s">
        <v>16</v>
      </c>
      <c r="C798" s="1" t="s">
        <v>35</v>
      </c>
      <c r="D798" s="6" t="s">
        <v>1118</v>
      </c>
      <c r="E798" s="6" t="s">
        <v>1476</v>
      </c>
      <c r="F798" s="6">
        <v>48.0</v>
      </c>
      <c r="G798" s="1" t="s">
        <v>14</v>
      </c>
      <c r="H798" s="7">
        <f t="shared" ref="H798:I798" si="799">DATE(MID(D798,7,4), MID(D798,4,2), LEFT(D798,2)) + TIMEVALUE(MID(D798,12,5))
</f>
        <v>46038.66667</v>
      </c>
      <c r="I798" s="7">
        <f t="shared" si="799"/>
        <v>46040.29167</v>
      </c>
      <c r="J798" s="4">
        <f t="shared" si="3"/>
        <v>39</v>
      </c>
      <c r="K798" s="4" t="str">
        <f t="shared" si="4"/>
        <v>Within SLA</v>
      </c>
    </row>
    <row r="799">
      <c r="A799" s="1" t="s">
        <v>1477</v>
      </c>
      <c r="B799" s="1" t="s">
        <v>11</v>
      </c>
      <c r="C799" s="1" t="s">
        <v>35</v>
      </c>
      <c r="D799" s="6" t="s">
        <v>1313</v>
      </c>
      <c r="E799" s="5">
        <v>46056.541666666664</v>
      </c>
      <c r="F799" s="6">
        <v>48.0</v>
      </c>
      <c r="G799" s="1" t="s">
        <v>14</v>
      </c>
      <c r="H799" s="7">
        <f t="shared" ref="H799:I799" si="800">DATE(MID(D799,7,4), MID(D799,4,2), LEFT(D799,2)) + TIMEVALUE(MID(D799,12,5))
</f>
        <v>46081.41667</v>
      </c>
      <c r="I799" s="7">
        <f t="shared" si="800"/>
        <v>46083.54167</v>
      </c>
      <c r="J799" s="4">
        <f t="shared" si="3"/>
        <v>51</v>
      </c>
      <c r="K799" s="4" t="str">
        <f t="shared" si="4"/>
        <v>Breached</v>
      </c>
    </row>
    <row r="800">
      <c r="A800" s="1" t="s">
        <v>1478</v>
      </c>
      <c r="B800" s="1" t="s">
        <v>11</v>
      </c>
      <c r="C800" s="1" t="s">
        <v>19</v>
      </c>
      <c r="D800" s="5">
        <v>46235.583333333336</v>
      </c>
      <c r="E800" s="5">
        <v>46266.291666666664</v>
      </c>
      <c r="F800" s="6">
        <v>24.0</v>
      </c>
      <c r="G800" s="1" t="s">
        <v>14</v>
      </c>
      <c r="H800" s="7">
        <f t="shared" ref="H800:I800" si="801">DATE(MID(D800,7,4), MID(D800,4,2), LEFT(D800,2)) + TIMEVALUE(MID(D800,12,5))
</f>
        <v>46030.58333</v>
      </c>
      <c r="I800" s="7">
        <f t="shared" si="801"/>
        <v>46031.29167</v>
      </c>
      <c r="J800" s="4">
        <f t="shared" si="3"/>
        <v>17</v>
      </c>
      <c r="K800" s="4" t="str">
        <f t="shared" si="4"/>
        <v>Within SLA</v>
      </c>
    </row>
    <row r="801">
      <c r="A801" s="1" t="s">
        <v>1479</v>
      </c>
      <c r="B801" s="1" t="s">
        <v>18</v>
      </c>
      <c r="C801" s="1" t="s">
        <v>12</v>
      </c>
      <c r="D801" s="5">
        <v>46024.666666666664</v>
      </c>
      <c r="E801" s="5">
        <v>46114.666666666664</v>
      </c>
      <c r="F801" s="6">
        <v>72.0</v>
      </c>
      <c r="G801" s="1" t="s">
        <v>14</v>
      </c>
      <c r="H801" s="7">
        <f t="shared" ref="H801:I801" si="802">DATE(MID(D801,7,4), MID(D801,4,2), LEFT(D801,2)) + TIMEVALUE(MID(D801,12,5))
</f>
        <v>46054.66667</v>
      </c>
      <c r="I801" s="7">
        <f t="shared" si="802"/>
        <v>46057.66667</v>
      </c>
      <c r="J801" s="4">
        <f t="shared" si="3"/>
        <v>72</v>
      </c>
      <c r="K801" s="4" t="str">
        <f t="shared" si="4"/>
        <v>Within SLA</v>
      </c>
    </row>
    <row r="802">
      <c r="A802" s="1" t="s">
        <v>1480</v>
      </c>
      <c r="B802" s="1" t="s">
        <v>11</v>
      </c>
      <c r="C802" s="1" t="s">
        <v>12</v>
      </c>
      <c r="D802" s="5">
        <v>46268.041666666664</v>
      </c>
      <c r="E802" s="5">
        <v>46359.25</v>
      </c>
      <c r="F802" s="6">
        <v>72.0</v>
      </c>
      <c r="G802" s="1" t="s">
        <v>14</v>
      </c>
      <c r="H802" s="7">
        <f t="shared" ref="H802:I802" si="803">DATE(MID(D802,7,4), MID(D802,4,2), LEFT(D802,2)) + TIMEVALUE(MID(D802,12,5))
</f>
        <v>46090.04167</v>
      </c>
      <c r="I802" s="7">
        <f t="shared" si="803"/>
        <v>46093.25</v>
      </c>
      <c r="J802" s="4">
        <f t="shared" si="3"/>
        <v>77</v>
      </c>
      <c r="K802" s="4" t="str">
        <f t="shared" si="4"/>
        <v>Breached</v>
      </c>
    </row>
    <row r="803">
      <c r="A803" s="1" t="s">
        <v>1481</v>
      </c>
      <c r="B803" s="1" t="s">
        <v>11</v>
      </c>
      <c r="C803" s="1" t="s">
        <v>12</v>
      </c>
      <c r="D803" s="6" t="s">
        <v>147</v>
      </c>
      <c r="E803" s="6" t="s">
        <v>874</v>
      </c>
      <c r="F803" s="6">
        <v>72.0</v>
      </c>
      <c r="G803" s="1" t="s">
        <v>14</v>
      </c>
      <c r="H803" s="7">
        <f t="shared" ref="H803:I803" si="804">DATE(MID(D803,7,4), MID(D803,4,2), LEFT(D803,2)) + TIMEVALUE(MID(D803,12,5))
</f>
        <v>46079.54167</v>
      </c>
      <c r="I803" s="7">
        <f t="shared" si="804"/>
        <v>46081.04167</v>
      </c>
      <c r="J803" s="4">
        <f t="shared" si="3"/>
        <v>36</v>
      </c>
      <c r="K803" s="4" t="str">
        <f t="shared" si="4"/>
        <v>Within SLA</v>
      </c>
    </row>
    <row r="804">
      <c r="A804" s="1" t="s">
        <v>1482</v>
      </c>
      <c r="B804" s="1" t="s">
        <v>11</v>
      </c>
      <c r="C804" s="1" t="s">
        <v>19</v>
      </c>
      <c r="D804" s="6" t="s">
        <v>1277</v>
      </c>
      <c r="E804" s="6" t="s">
        <v>1483</v>
      </c>
      <c r="F804" s="6">
        <v>24.0</v>
      </c>
      <c r="G804" s="1" t="s">
        <v>14</v>
      </c>
      <c r="H804" s="7">
        <f t="shared" ref="H804:I804" si="805">DATE(MID(D804,7,4), MID(D804,4,2), LEFT(D804,2)) + TIMEVALUE(MID(D804,12,5))
</f>
        <v>46102.16667</v>
      </c>
      <c r="I804" s="7">
        <f t="shared" si="805"/>
        <v>46102.75</v>
      </c>
      <c r="J804" s="4">
        <f t="shared" si="3"/>
        <v>14</v>
      </c>
      <c r="K804" s="4" t="str">
        <f t="shared" si="4"/>
        <v>Within SLA</v>
      </c>
    </row>
    <row r="805">
      <c r="A805" s="1" t="s">
        <v>1484</v>
      </c>
      <c r="B805" s="1" t="s">
        <v>11</v>
      </c>
      <c r="C805" s="1" t="s">
        <v>19</v>
      </c>
      <c r="D805" s="5">
        <v>46328.958333333336</v>
      </c>
      <c r="E805" s="5">
        <v>46358.791666666664</v>
      </c>
      <c r="F805" s="6">
        <v>24.0</v>
      </c>
      <c r="G805" s="1" t="s">
        <v>14</v>
      </c>
      <c r="H805" s="7">
        <f t="shared" ref="H805:I805" si="806">DATE(MID(D805,7,4), MID(D805,4,2), LEFT(D805,2)) + TIMEVALUE(MID(D805,12,5))
</f>
        <v>46064.95833</v>
      </c>
      <c r="I805" s="7">
        <f t="shared" si="806"/>
        <v>46065.79167</v>
      </c>
      <c r="J805" s="4">
        <f t="shared" si="3"/>
        <v>20</v>
      </c>
      <c r="K805" s="4" t="str">
        <f t="shared" si="4"/>
        <v>Within SLA</v>
      </c>
    </row>
    <row r="806">
      <c r="A806" s="1" t="s">
        <v>1485</v>
      </c>
      <c r="B806" s="1" t="s">
        <v>23</v>
      </c>
      <c r="C806" s="1" t="s">
        <v>19</v>
      </c>
      <c r="D806" s="6" t="s">
        <v>1043</v>
      </c>
      <c r="E806" s="6" t="s">
        <v>215</v>
      </c>
      <c r="F806" s="6">
        <v>24.0</v>
      </c>
      <c r="G806" s="1" t="s">
        <v>14</v>
      </c>
      <c r="H806" s="7">
        <f t="shared" ref="H806:I806" si="807">DATE(MID(D806,7,4), MID(D806,4,2), LEFT(D806,2)) + TIMEVALUE(MID(D806,12,5))
</f>
        <v>46049.125</v>
      </c>
      <c r="I806" s="7">
        <f t="shared" si="807"/>
        <v>46052.79167</v>
      </c>
      <c r="J806" s="4">
        <f t="shared" si="3"/>
        <v>88</v>
      </c>
      <c r="K806" s="4" t="str">
        <f t="shared" si="4"/>
        <v>Breached</v>
      </c>
    </row>
    <row r="807">
      <c r="A807" s="1" t="s">
        <v>1486</v>
      </c>
      <c r="B807" s="1" t="s">
        <v>16</v>
      </c>
      <c r="C807" s="1" t="s">
        <v>35</v>
      </c>
      <c r="D807" s="5">
        <v>46296.875</v>
      </c>
      <c r="E807" s="5">
        <v>46327.541666666664</v>
      </c>
      <c r="F807" s="6">
        <v>48.0</v>
      </c>
      <c r="G807" s="1" t="s">
        <v>14</v>
      </c>
      <c r="H807" s="7">
        <f t="shared" ref="H807:I807" si="808">DATE(MID(D807,7,4), MID(D807,4,2), LEFT(D807,2)) + TIMEVALUE(MID(D807,12,5))
</f>
        <v>46032.875</v>
      </c>
      <c r="I807" s="7">
        <f t="shared" si="808"/>
        <v>46033.54167</v>
      </c>
      <c r="J807" s="4">
        <f t="shared" si="3"/>
        <v>16</v>
      </c>
      <c r="K807" s="4" t="str">
        <f t="shared" si="4"/>
        <v>Within SLA</v>
      </c>
    </row>
    <row r="808">
      <c r="A808" s="1" t="s">
        <v>1487</v>
      </c>
      <c r="B808" s="1" t="s">
        <v>23</v>
      </c>
      <c r="C808" s="1" t="s">
        <v>19</v>
      </c>
      <c r="D808" s="6" t="s">
        <v>1488</v>
      </c>
      <c r="E808" s="6" t="s">
        <v>1489</v>
      </c>
      <c r="F808" s="6">
        <v>24.0</v>
      </c>
      <c r="G808" s="1" t="s">
        <v>14</v>
      </c>
      <c r="H808" s="7">
        <f t="shared" ref="H808:I808" si="809">DATE(MID(D808,7,4), MID(D808,4,2), LEFT(D808,2)) + TIMEVALUE(MID(D808,12,5))
</f>
        <v>46068.79167</v>
      </c>
      <c r="I808" s="7">
        <f t="shared" si="809"/>
        <v>46070.91667</v>
      </c>
      <c r="J808" s="4">
        <f t="shared" si="3"/>
        <v>51</v>
      </c>
      <c r="K808" s="4" t="str">
        <f t="shared" si="4"/>
        <v>Breached</v>
      </c>
    </row>
    <row r="809">
      <c r="A809" s="1" t="s">
        <v>1490</v>
      </c>
      <c r="B809" s="1" t="s">
        <v>18</v>
      </c>
      <c r="C809" s="1" t="s">
        <v>19</v>
      </c>
      <c r="D809" s="5">
        <v>46327.208333333336</v>
      </c>
      <c r="E809" s="6" t="s">
        <v>1491</v>
      </c>
      <c r="F809" s="6">
        <v>24.0</v>
      </c>
      <c r="G809" s="1" t="s">
        <v>14</v>
      </c>
      <c r="H809" s="7">
        <f t="shared" ref="H809:I809" si="810">DATE(MID(D809,7,4), MID(D809,4,2), LEFT(D809,2)) + TIMEVALUE(MID(D809,12,5))
</f>
        <v>46033.20833</v>
      </c>
      <c r="I809" s="7">
        <f t="shared" si="810"/>
        <v>46035.41667</v>
      </c>
      <c r="J809" s="4">
        <f t="shared" si="3"/>
        <v>53</v>
      </c>
      <c r="K809" s="4" t="str">
        <f t="shared" si="4"/>
        <v>Breached</v>
      </c>
    </row>
    <row r="810">
      <c r="A810" s="1" t="s">
        <v>1492</v>
      </c>
      <c r="B810" s="1" t="s">
        <v>34</v>
      </c>
      <c r="C810" s="1" t="s">
        <v>12</v>
      </c>
      <c r="D810" s="6" t="s">
        <v>712</v>
      </c>
      <c r="E810" s="5">
        <v>46084.25</v>
      </c>
      <c r="F810" s="6">
        <v>72.0</v>
      </c>
      <c r="G810" s="1" t="s">
        <v>14</v>
      </c>
      <c r="H810" s="7">
        <f t="shared" ref="H810:I810" si="811">DATE(MID(D810,7,4), MID(D810,4,2), LEFT(D810,2)) + TIMEVALUE(MID(D810,12,5))
</f>
        <v>46080.91667</v>
      </c>
      <c r="I810" s="7">
        <f t="shared" si="811"/>
        <v>46084.25</v>
      </c>
      <c r="J810" s="4">
        <f t="shared" si="3"/>
        <v>80</v>
      </c>
      <c r="K810" s="4" t="str">
        <f t="shared" si="4"/>
        <v>Breached</v>
      </c>
    </row>
    <row r="811">
      <c r="A811" s="1" t="s">
        <v>1493</v>
      </c>
      <c r="B811" s="1" t="s">
        <v>18</v>
      </c>
      <c r="C811" s="1" t="s">
        <v>19</v>
      </c>
      <c r="D811" s="6" t="s">
        <v>1494</v>
      </c>
      <c r="E811" s="6" t="s">
        <v>1495</v>
      </c>
      <c r="F811" s="6">
        <v>24.0</v>
      </c>
      <c r="G811" s="1" t="s">
        <v>14</v>
      </c>
      <c r="H811" s="7">
        <f t="shared" ref="H811:I811" si="812">DATE(MID(D811,7,4), MID(D811,4,2), LEFT(D811,2)) + TIMEVALUE(MID(D811,12,5))
</f>
        <v>46042.625</v>
      </c>
      <c r="I811" s="7">
        <f t="shared" si="812"/>
        <v>46043.375</v>
      </c>
      <c r="J811" s="4">
        <f t="shared" si="3"/>
        <v>18</v>
      </c>
      <c r="K811" s="4" t="str">
        <f t="shared" si="4"/>
        <v>Within SLA</v>
      </c>
    </row>
    <row r="812">
      <c r="A812" s="1" t="s">
        <v>1496</v>
      </c>
      <c r="B812" s="1" t="s">
        <v>11</v>
      </c>
      <c r="C812" s="1" t="s">
        <v>12</v>
      </c>
      <c r="D812" s="6" t="s">
        <v>403</v>
      </c>
      <c r="E812" s="6" t="s">
        <v>774</v>
      </c>
      <c r="F812" s="6">
        <v>72.0</v>
      </c>
      <c r="G812" s="1" t="s">
        <v>14</v>
      </c>
      <c r="H812" s="7">
        <f t="shared" ref="H812:I812" si="813">DATE(MID(D812,7,4), MID(D812,4,2), LEFT(D812,2)) + TIMEVALUE(MID(D812,12,5))
</f>
        <v>46051</v>
      </c>
      <c r="I812" s="7">
        <f t="shared" si="813"/>
        <v>46052.29167</v>
      </c>
      <c r="J812" s="4">
        <f t="shared" si="3"/>
        <v>31</v>
      </c>
      <c r="K812" s="4" t="str">
        <f t="shared" si="4"/>
        <v>Within SLA</v>
      </c>
    </row>
    <row r="813">
      <c r="A813" s="1" t="s">
        <v>1497</v>
      </c>
      <c r="B813" s="1" t="s">
        <v>16</v>
      </c>
      <c r="C813" s="1" t="s">
        <v>19</v>
      </c>
      <c r="D813" s="5">
        <v>46327.708333333336</v>
      </c>
      <c r="E813" s="6" t="s">
        <v>603</v>
      </c>
      <c r="F813" s="6">
        <v>24.0</v>
      </c>
      <c r="G813" s="1" t="s">
        <v>14</v>
      </c>
      <c r="H813" s="7">
        <f t="shared" ref="H813:I813" si="814">DATE(MID(D813,7,4), MID(D813,4,2), LEFT(D813,2)) + TIMEVALUE(MID(D813,12,5))
</f>
        <v>46033.70833</v>
      </c>
      <c r="I813" s="7">
        <f t="shared" si="814"/>
        <v>46036.66667</v>
      </c>
      <c r="J813" s="4">
        <f t="shared" si="3"/>
        <v>71</v>
      </c>
      <c r="K813" s="4" t="str">
        <f t="shared" si="4"/>
        <v>Breached</v>
      </c>
    </row>
    <row r="814">
      <c r="A814" s="1" t="s">
        <v>1498</v>
      </c>
      <c r="B814" s="1" t="s">
        <v>34</v>
      </c>
      <c r="C814" s="1" t="s">
        <v>19</v>
      </c>
      <c r="D814" s="6" t="s">
        <v>377</v>
      </c>
      <c r="E814" s="6" t="s">
        <v>991</v>
      </c>
      <c r="F814" s="6">
        <v>24.0</v>
      </c>
      <c r="G814" s="1" t="s">
        <v>14</v>
      </c>
      <c r="H814" s="7">
        <f t="shared" ref="H814:I814" si="815">DATE(MID(D814,7,4), MID(D814,4,2), LEFT(D814,2)) + TIMEVALUE(MID(D814,12,5))
</f>
        <v>46105.29167</v>
      </c>
      <c r="I814" s="7">
        <f t="shared" si="815"/>
        <v>46109.29167</v>
      </c>
      <c r="J814" s="4">
        <f t="shared" si="3"/>
        <v>96</v>
      </c>
      <c r="K814" s="4" t="str">
        <f t="shared" si="4"/>
        <v>Breached</v>
      </c>
    </row>
    <row r="815">
      <c r="A815" s="1" t="s">
        <v>1499</v>
      </c>
      <c r="B815" s="1" t="s">
        <v>16</v>
      </c>
      <c r="C815" s="1" t="s">
        <v>35</v>
      </c>
      <c r="D815" s="6" t="s">
        <v>126</v>
      </c>
      <c r="E815" s="6" t="s">
        <v>1500</v>
      </c>
      <c r="F815" s="6">
        <v>48.0</v>
      </c>
      <c r="G815" s="1" t="s">
        <v>14</v>
      </c>
      <c r="H815" s="7">
        <f t="shared" ref="H815:I815" si="816">DATE(MID(D815,7,4), MID(D815,4,2), LEFT(D815,2)) + TIMEVALUE(MID(D815,12,5))
</f>
        <v>46077.04167</v>
      </c>
      <c r="I815" s="7">
        <f t="shared" si="816"/>
        <v>46077.58333</v>
      </c>
      <c r="J815" s="4">
        <f t="shared" si="3"/>
        <v>13</v>
      </c>
      <c r="K815" s="4" t="str">
        <f t="shared" si="4"/>
        <v>Within SLA</v>
      </c>
    </row>
    <row r="816">
      <c r="A816" s="1" t="s">
        <v>1501</v>
      </c>
      <c r="B816" s="1" t="s">
        <v>18</v>
      </c>
      <c r="C816" s="1" t="s">
        <v>35</v>
      </c>
      <c r="D816" s="6" t="s">
        <v>679</v>
      </c>
      <c r="E816" s="6" t="s">
        <v>1502</v>
      </c>
      <c r="F816" s="6">
        <v>48.0</v>
      </c>
      <c r="G816" s="1" t="s">
        <v>14</v>
      </c>
      <c r="H816" s="7">
        <f t="shared" ref="H816:I816" si="817">DATE(MID(D816,7,4), MID(D816,4,2), LEFT(D816,2)) + TIMEVALUE(MID(D816,12,5))
</f>
        <v>46067.75</v>
      </c>
      <c r="I816" s="7">
        <f t="shared" si="817"/>
        <v>46071.58333</v>
      </c>
      <c r="J816" s="4">
        <f t="shared" si="3"/>
        <v>92</v>
      </c>
      <c r="K816" s="4" t="str">
        <f t="shared" si="4"/>
        <v>Breached</v>
      </c>
    </row>
    <row r="817">
      <c r="A817" s="1" t="s">
        <v>1503</v>
      </c>
      <c r="B817" s="1" t="s">
        <v>18</v>
      </c>
      <c r="C817" s="1" t="s">
        <v>35</v>
      </c>
      <c r="D817" s="6" t="s">
        <v>973</v>
      </c>
      <c r="E817" s="5">
        <v>46025.916666666664</v>
      </c>
      <c r="F817" s="6">
        <v>48.0</v>
      </c>
      <c r="G817" s="1" t="s">
        <v>14</v>
      </c>
      <c r="H817" s="7">
        <f t="shared" ref="H817:I817" si="818">DATE(MID(D817,7,4), MID(D817,4,2), LEFT(D817,2)) + TIMEVALUE(MID(D817,12,5))
</f>
        <v>46080.25</v>
      </c>
      <c r="I817" s="7">
        <f t="shared" si="818"/>
        <v>46082.91667</v>
      </c>
      <c r="J817" s="4">
        <f t="shared" si="3"/>
        <v>64</v>
      </c>
      <c r="K817" s="4" t="str">
        <f t="shared" si="4"/>
        <v>Breached</v>
      </c>
    </row>
    <row r="818">
      <c r="A818" s="1" t="s">
        <v>1504</v>
      </c>
      <c r="B818" s="1" t="s">
        <v>23</v>
      </c>
      <c r="C818" s="1" t="s">
        <v>12</v>
      </c>
      <c r="D818" s="6" t="s">
        <v>1505</v>
      </c>
      <c r="E818" s="6" t="s">
        <v>1506</v>
      </c>
      <c r="F818" s="6">
        <v>72.0</v>
      </c>
      <c r="G818" s="1" t="s">
        <v>14</v>
      </c>
      <c r="H818" s="7">
        <f t="shared" ref="H818:I818" si="819">DATE(MID(D818,7,4), MID(D818,4,2), LEFT(D818,2)) + TIMEVALUE(MID(D818,12,5))
</f>
        <v>46036.83333</v>
      </c>
      <c r="I818" s="7">
        <f t="shared" si="819"/>
        <v>46039.66667</v>
      </c>
      <c r="J818" s="4">
        <f t="shared" si="3"/>
        <v>68</v>
      </c>
      <c r="K818" s="4" t="str">
        <f t="shared" si="4"/>
        <v>Within SLA</v>
      </c>
    </row>
    <row r="819">
      <c r="A819" s="1" t="s">
        <v>1507</v>
      </c>
      <c r="B819" s="1" t="s">
        <v>11</v>
      </c>
      <c r="C819" s="1" t="s">
        <v>12</v>
      </c>
      <c r="D819" s="5">
        <v>46114.666666666664</v>
      </c>
      <c r="E819" s="5">
        <v>46175.375</v>
      </c>
      <c r="F819" s="6">
        <v>72.0</v>
      </c>
      <c r="G819" s="1" t="s">
        <v>14</v>
      </c>
      <c r="H819" s="7">
        <f t="shared" ref="H819:I819" si="820">DATE(MID(D819,7,4), MID(D819,4,2), LEFT(D819,2)) + TIMEVALUE(MID(D819,12,5))
</f>
        <v>46057.66667</v>
      </c>
      <c r="I819" s="7">
        <f t="shared" si="820"/>
        <v>46059.375</v>
      </c>
      <c r="J819" s="4">
        <f t="shared" si="3"/>
        <v>41</v>
      </c>
      <c r="K819" s="4" t="str">
        <f t="shared" si="4"/>
        <v>Within SLA</v>
      </c>
    </row>
    <row r="820">
      <c r="A820" s="1" t="s">
        <v>1508</v>
      </c>
      <c r="B820" s="1" t="s">
        <v>34</v>
      </c>
      <c r="C820" s="1" t="s">
        <v>35</v>
      </c>
      <c r="D820" s="6" t="s">
        <v>200</v>
      </c>
      <c r="E820" s="6" t="s">
        <v>581</v>
      </c>
      <c r="F820" s="6">
        <v>48.0</v>
      </c>
      <c r="G820" s="1" t="s">
        <v>14</v>
      </c>
      <c r="H820" s="7">
        <f t="shared" ref="H820:I820" si="821">DATE(MID(D820,7,4), MID(D820,4,2), LEFT(D820,2)) + TIMEVALUE(MID(D820,12,5))
</f>
        <v>46100.70833</v>
      </c>
      <c r="I820" s="7">
        <f t="shared" si="821"/>
        <v>46101.58333</v>
      </c>
      <c r="J820" s="4">
        <f t="shared" si="3"/>
        <v>21</v>
      </c>
      <c r="K820" s="4" t="str">
        <f t="shared" si="4"/>
        <v>Within SLA</v>
      </c>
    </row>
    <row r="821">
      <c r="A821" s="1" t="s">
        <v>1509</v>
      </c>
      <c r="B821" s="1" t="s">
        <v>18</v>
      </c>
      <c r="C821" s="1" t="s">
        <v>19</v>
      </c>
      <c r="D821" s="6" t="s">
        <v>987</v>
      </c>
      <c r="E821" s="6" t="s">
        <v>1510</v>
      </c>
      <c r="F821" s="6">
        <v>24.0</v>
      </c>
      <c r="G821" s="1" t="s">
        <v>14</v>
      </c>
      <c r="H821" s="7">
        <f t="shared" ref="H821:I821" si="822">DATE(MID(D821,7,4), MID(D821,4,2), LEFT(D821,2)) + TIMEVALUE(MID(D821,12,5))
</f>
        <v>46071.20833</v>
      </c>
      <c r="I821" s="7">
        <f t="shared" si="822"/>
        <v>46072.79167</v>
      </c>
      <c r="J821" s="4">
        <f t="shared" si="3"/>
        <v>38</v>
      </c>
      <c r="K821" s="4" t="str">
        <f t="shared" si="4"/>
        <v>Breached</v>
      </c>
    </row>
    <row r="822">
      <c r="A822" s="1" t="s">
        <v>1511</v>
      </c>
      <c r="B822" s="1" t="s">
        <v>11</v>
      </c>
      <c r="C822" s="1" t="s">
        <v>19</v>
      </c>
      <c r="D822" s="6" t="s">
        <v>969</v>
      </c>
      <c r="E822" s="6" t="s">
        <v>1512</v>
      </c>
      <c r="F822" s="6">
        <v>24.0</v>
      </c>
      <c r="G822" s="1" t="s">
        <v>14</v>
      </c>
      <c r="H822" s="7">
        <f t="shared" ref="H822:I822" si="823">DATE(MID(D822,7,4), MID(D822,4,2), LEFT(D822,2)) + TIMEVALUE(MID(D822,12,5))
</f>
        <v>46051.66667</v>
      </c>
      <c r="I822" s="7">
        <f t="shared" si="823"/>
        <v>46052.375</v>
      </c>
      <c r="J822" s="4">
        <f t="shared" si="3"/>
        <v>17</v>
      </c>
      <c r="K822" s="4" t="str">
        <f t="shared" si="4"/>
        <v>Within SLA</v>
      </c>
    </row>
    <row r="823">
      <c r="A823" s="1" t="s">
        <v>1513</v>
      </c>
      <c r="B823" s="1" t="s">
        <v>34</v>
      </c>
      <c r="C823" s="1" t="s">
        <v>35</v>
      </c>
      <c r="D823" s="5">
        <v>46025.625</v>
      </c>
      <c r="E823" s="5">
        <v>46145.5</v>
      </c>
      <c r="F823" s="6">
        <v>48.0</v>
      </c>
      <c r="G823" s="1" t="s">
        <v>14</v>
      </c>
      <c r="H823" s="7">
        <f t="shared" ref="H823:I823" si="824">DATE(MID(D823,7,4), MID(D823,4,2), LEFT(D823,2)) + TIMEVALUE(MID(D823,12,5))
</f>
        <v>46082.625</v>
      </c>
      <c r="I823" s="7">
        <f t="shared" si="824"/>
        <v>46086.5</v>
      </c>
      <c r="J823" s="4">
        <f t="shared" si="3"/>
        <v>93</v>
      </c>
      <c r="K823" s="4" t="str">
        <f t="shared" si="4"/>
        <v>Breached</v>
      </c>
    </row>
    <row r="824">
      <c r="A824" s="1" t="s">
        <v>1514</v>
      </c>
      <c r="B824" s="1" t="s">
        <v>16</v>
      </c>
      <c r="C824" s="1" t="s">
        <v>35</v>
      </c>
      <c r="D824" s="6" t="s">
        <v>1515</v>
      </c>
      <c r="E824" s="6" t="s">
        <v>1453</v>
      </c>
      <c r="F824" s="6">
        <v>48.0</v>
      </c>
      <c r="G824" s="1" t="s">
        <v>14</v>
      </c>
      <c r="H824" s="7">
        <f t="shared" ref="H824:I824" si="825">DATE(MID(D824,7,4), MID(D824,4,2), LEFT(D824,2)) + TIMEVALUE(MID(D824,12,5))
</f>
        <v>46104.83333</v>
      </c>
      <c r="I824" s="7">
        <f t="shared" si="825"/>
        <v>46105.70833</v>
      </c>
      <c r="J824" s="4">
        <f t="shared" si="3"/>
        <v>21</v>
      </c>
      <c r="K824" s="4" t="str">
        <f t="shared" si="4"/>
        <v>Within SLA</v>
      </c>
    </row>
    <row r="825">
      <c r="A825" s="1" t="s">
        <v>1516</v>
      </c>
      <c r="B825" s="1" t="s">
        <v>16</v>
      </c>
      <c r="C825" s="1" t="s">
        <v>19</v>
      </c>
      <c r="D825" s="6" t="s">
        <v>1517</v>
      </c>
      <c r="E825" s="6" t="s">
        <v>1518</v>
      </c>
      <c r="F825" s="6">
        <v>24.0</v>
      </c>
      <c r="G825" s="1" t="s">
        <v>14</v>
      </c>
      <c r="H825" s="7">
        <f t="shared" ref="H825:I825" si="826">DATE(MID(D825,7,4), MID(D825,4,2), LEFT(D825,2)) + TIMEVALUE(MID(D825,12,5))
</f>
        <v>46046.70833</v>
      </c>
      <c r="I825" s="7">
        <f t="shared" si="826"/>
        <v>46048.83333</v>
      </c>
      <c r="J825" s="4">
        <f t="shared" si="3"/>
        <v>51</v>
      </c>
      <c r="K825" s="4" t="str">
        <f t="shared" si="4"/>
        <v>Breached</v>
      </c>
    </row>
    <row r="826">
      <c r="A826" s="1" t="s">
        <v>1519</v>
      </c>
      <c r="B826" s="1" t="s">
        <v>18</v>
      </c>
      <c r="C826" s="1" t="s">
        <v>35</v>
      </c>
      <c r="D826" s="6" t="s">
        <v>1520</v>
      </c>
      <c r="E826" s="5">
        <v>46056.833333333336</v>
      </c>
      <c r="F826" s="6">
        <v>48.0</v>
      </c>
      <c r="G826" s="1" t="s">
        <v>14</v>
      </c>
      <c r="H826" s="7">
        <f t="shared" ref="H826:I826" si="827">DATE(MID(D826,7,4), MID(D826,4,2), LEFT(D826,2)) + TIMEVALUE(MID(D826,12,5))
</f>
        <v>46081.66667</v>
      </c>
      <c r="I826" s="7">
        <f t="shared" si="827"/>
        <v>46083.83333</v>
      </c>
      <c r="J826" s="4">
        <f t="shared" si="3"/>
        <v>52</v>
      </c>
      <c r="K826" s="4" t="str">
        <f t="shared" si="4"/>
        <v>Breached</v>
      </c>
    </row>
    <row r="827">
      <c r="A827" s="1" t="s">
        <v>1521</v>
      </c>
      <c r="B827" s="1" t="s">
        <v>34</v>
      </c>
      <c r="C827" s="1" t="s">
        <v>19</v>
      </c>
      <c r="D827" s="6" t="s">
        <v>1522</v>
      </c>
      <c r="E827" s="6" t="s">
        <v>131</v>
      </c>
      <c r="F827" s="6">
        <v>24.0</v>
      </c>
      <c r="G827" s="1" t="s">
        <v>14</v>
      </c>
      <c r="H827" s="7">
        <f t="shared" ref="H827:I827" si="828">DATE(MID(D827,7,4), MID(D827,4,2), LEFT(D827,2)) + TIMEVALUE(MID(D827,12,5))
</f>
        <v>46039.54167</v>
      </c>
      <c r="I827" s="7">
        <f t="shared" si="828"/>
        <v>46041.08333</v>
      </c>
      <c r="J827" s="4">
        <f t="shared" si="3"/>
        <v>37</v>
      </c>
      <c r="K827" s="4" t="str">
        <f t="shared" si="4"/>
        <v>Breached</v>
      </c>
    </row>
    <row r="828">
      <c r="A828" s="1" t="s">
        <v>1523</v>
      </c>
      <c r="B828" s="1" t="s">
        <v>34</v>
      </c>
      <c r="C828" s="1" t="s">
        <v>12</v>
      </c>
      <c r="D828" s="6" t="s">
        <v>990</v>
      </c>
      <c r="E828" s="6" t="s">
        <v>1524</v>
      </c>
      <c r="F828" s="6">
        <v>72.0</v>
      </c>
      <c r="G828" s="1" t="s">
        <v>14</v>
      </c>
      <c r="H828" s="7">
        <f t="shared" ref="H828:I828" si="829">DATE(MID(D828,7,4), MID(D828,4,2), LEFT(D828,2)) + TIMEVALUE(MID(D828,12,5))
</f>
        <v>46105.83333</v>
      </c>
      <c r="I828" s="7">
        <f t="shared" si="829"/>
        <v>46108.75</v>
      </c>
      <c r="J828" s="4">
        <f t="shared" si="3"/>
        <v>70</v>
      </c>
      <c r="K828" s="4" t="str">
        <f t="shared" si="4"/>
        <v>Within SLA</v>
      </c>
    </row>
    <row r="829">
      <c r="A829" s="1" t="s">
        <v>1525</v>
      </c>
      <c r="B829" s="1" t="s">
        <v>11</v>
      </c>
      <c r="C829" s="1" t="s">
        <v>12</v>
      </c>
      <c r="D829" s="5">
        <v>46114.875</v>
      </c>
      <c r="E829" s="5">
        <v>46236.125</v>
      </c>
      <c r="F829" s="6">
        <v>72.0</v>
      </c>
      <c r="G829" s="1" t="s">
        <v>14</v>
      </c>
      <c r="H829" s="7">
        <f t="shared" ref="H829:I829" si="830">DATE(MID(D829,7,4), MID(D829,4,2), LEFT(D829,2)) + TIMEVALUE(MID(D829,12,5))
</f>
        <v>46057.875</v>
      </c>
      <c r="I829" s="7">
        <f t="shared" si="830"/>
        <v>46061.125</v>
      </c>
      <c r="J829" s="4">
        <f t="shared" si="3"/>
        <v>78</v>
      </c>
      <c r="K829" s="4" t="str">
        <f t="shared" si="4"/>
        <v>Breached</v>
      </c>
    </row>
    <row r="830">
      <c r="A830" s="1" t="s">
        <v>1526</v>
      </c>
      <c r="B830" s="1" t="s">
        <v>18</v>
      </c>
      <c r="C830" s="1" t="s">
        <v>35</v>
      </c>
      <c r="D830" s="6" t="s">
        <v>115</v>
      </c>
      <c r="E830" s="6" t="s">
        <v>429</v>
      </c>
      <c r="F830" s="6">
        <v>48.0</v>
      </c>
      <c r="G830" s="1" t="s">
        <v>14</v>
      </c>
      <c r="H830" s="7">
        <f t="shared" ref="H830:I830" si="831">DATE(MID(D830,7,4), MID(D830,4,2), LEFT(D830,2)) + TIMEVALUE(MID(D830,12,5))
</f>
        <v>46075.875</v>
      </c>
      <c r="I830" s="7">
        <f t="shared" si="831"/>
        <v>46078.16667</v>
      </c>
      <c r="J830" s="4">
        <f t="shared" si="3"/>
        <v>55</v>
      </c>
      <c r="K830" s="4" t="str">
        <f t="shared" si="4"/>
        <v>Breached</v>
      </c>
    </row>
    <row r="831">
      <c r="A831" s="1" t="s">
        <v>1527</v>
      </c>
      <c r="B831" s="1" t="s">
        <v>18</v>
      </c>
      <c r="C831" s="1" t="s">
        <v>12</v>
      </c>
      <c r="D831" s="5">
        <v>46237.0</v>
      </c>
      <c r="E831" s="5">
        <v>46268.916666666664</v>
      </c>
      <c r="F831" s="6">
        <v>72.0</v>
      </c>
      <c r="G831" s="1" t="s">
        <v>14</v>
      </c>
      <c r="H831" s="7">
        <f t="shared" ref="H831:I831" si="832">DATE(MID(D831,7,4), MID(D831,4,2), LEFT(D831,2)) + TIMEVALUE(MID(D831,12,5))
</f>
        <v>46089</v>
      </c>
      <c r="I831" s="7">
        <f t="shared" si="832"/>
        <v>46090.91667</v>
      </c>
      <c r="J831" s="4">
        <f t="shared" si="3"/>
        <v>46</v>
      </c>
      <c r="K831" s="4" t="str">
        <f t="shared" si="4"/>
        <v>Within SLA</v>
      </c>
    </row>
    <row r="832">
      <c r="A832" s="1" t="s">
        <v>1528</v>
      </c>
      <c r="B832" s="1" t="s">
        <v>11</v>
      </c>
      <c r="C832" s="1" t="s">
        <v>35</v>
      </c>
      <c r="D832" s="6" t="s">
        <v>1529</v>
      </c>
      <c r="E832" s="6" t="s">
        <v>1530</v>
      </c>
      <c r="F832" s="6">
        <v>48.0</v>
      </c>
      <c r="G832" s="1" t="s">
        <v>14</v>
      </c>
      <c r="H832" s="7">
        <f t="shared" ref="H832:I832" si="833">DATE(MID(D832,7,4), MID(D832,4,2), LEFT(D832,2)) + TIMEVALUE(MID(D832,12,5))
</f>
        <v>46078.58333</v>
      </c>
      <c r="I832" s="7">
        <f t="shared" si="833"/>
        <v>46079.625</v>
      </c>
      <c r="J832" s="4">
        <f t="shared" si="3"/>
        <v>25</v>
      </c>
      <c r="K832" s="4" t="str">
        <f t="shared" si="4"/>
        <v>Within SLA</v>
      </c>
    </row>
    <row r="833">
      <c r="A833" s="1" t="s">
        <v>1531</v>
      </c>
      <c r="B833" s="1" t="s">
        <v>11</v>
      </c>
      <c r="C833" s="1" t="s">
        <v>35</v>
      </c>
      <c r="D833" s="5">
        <v>46082.583333333336</v>
      </c>
      <c r="E833" s="5">
        <v>46143.5</v>
      </c>
      <c r="F833" s="6">
        <v>48.0</v>
      </c>
      <c r="G833" s="1" t="s">
        <v>14</v>
      </c>
      <c r="H833" s="7">
        <f t="shared" ref="H833:I833" si="834">DATE(MID(D833,7,4), MID(D833,4,2), LEFT(D833,2)) + TIMEVALUE(MID(D833,12,5))
</f>
        <v>46025.58333</v>
      </c>
      <c r="I833" s="7">
        <f t="shared" si="834"/>
        <v>46027.5</v>
      </c>
      <c r="J833" s="4">
        <f t="shared" si="3"/>
        <v>46</v>
      </c>
      <c r="K833" s="4" t="str">
        <f t="shared" si="4"/>
        <v>Within SLA</v>
      </c>
    </row>
    <row r="834">
      <c r="A834" s="1" t="s">
        <v>1532</v>
      </c>
      <c r="B834" s="1" t="s">
        <v>16</v>
      </c>
      <c r="C834" s="1" t="s">
        <v>19</v>
      </c>
      <c r="D834" s="6" t="s">
        <v>352</v>
      </c>
      <c r="E834" s="6" t="s">
        <v>1533</v>
      </c>
      <c r="F834" s="6">
        <v>24.0</v>
      </c>
      <c r="G834" s="1" t="s">
        <v>14</v>
      </c>
      <c r="H834" s="7">
        <f t="shared" ref="H834:I834" si="835">DATE(MID(D834,7,4), MID(D834,4,2), LEFT(D834,2)) + TIMEVALUE(MID(D834,12,5))
</f>
        <v>46045.45833</v>
      </c>
      <c r="I834" s="7">
        <f t="shared" si="835"/>
        <v>46046.66667</v>
      </c>
      <c r="J834" s="4">
        <f t="shared" si="3"/>
        <v>29</v>
      </c>
      <c r="K834" s="4" t="str">
        <f t="shared" si="4"/>
        <v>Breached</v>
      </c>
    </row>
    <row r="835">
      <c r="A835" s="1" t="s">
        <v>1534</v>
      </c>
      <c r="B835" s="1" t="s">
        <v>18</v>
      </c>
      <c r="C835" s="1" t="s">
        <v>19</v>
      </c>
      <c r="D835" s="6" t="s">
        <v>1535</v>
      </c>
      <c r="E835" s="6" t="s">
        <v>1536</v>
      </c>
      <c r="F835" s="6">
        <v>24.0</v>
      </c>
      <c r="G835" s="1" t="s">
        <v>14</v>
      </c>
      <c r="H835" s="7">
        <f t="shared" ref="H835:I835" si="836">DATE(MID(D835,7,4), MID(D835,4,2), LEFT(D835,2)) + TIMEVALUE(MID(D835,12,5))
</f>
        <v>46077.25</v>
      </c>
      <c r="I835" s="7">
        <f t="shared" si="836"/>
        <v>46079.5</v>
      </c>
      <c r="J835" s="4">
        <f t="shared" si="3"/>
        <v>54</v>
      </c>
      <c r="K835" s="4" t="str">
        <f t="shared" si="4"/>
        <v>Breached</v>
      </c>
    </row>
    <row r="836">
      <c r="A836" s="1" t="s">
        <v>1537</v>
      </c>
      <c r="B836" s="1" t="s">
        <v>18</v>
      </c>
      <c r="C836" s="1" t="s">
        <v>19</v>
      </c>
      <c r="D836" s="5">
        <v>46206.0</v>
      </c>
      <c r="E836" s="5">
        <v>46206.708333333336</v>
      </c>
      <c r="F836" s="6">
        <v>24.0</v>
      </c>
      <c r="G836" s="1" t="s">
        <v>14</v>
      </c>
      <c r="H836" s="7">
        <f t="shared" ref="H836:I836" si="837">DATE(MID(D836,7,4), MID(D836,4,2), LEFT(D836,2)) + TIMEVALUE(MID(D836,12,5))
</f>
        <v>46088</v>
      </c>
      <c r="I836" s="7">
        <f t="shared" si="837"/>
        <v>46088.70833</v>
      </c>
      <c r="J836" s="4">
        <f t="shared" si="3"/>
        <v>17</v>
      </c>
      <c r="K836" s="4" t="str">
        <f t="shared" si="4"/>
        <v>Within SLA</v>
      </c>
    </row>
    <row r="837">
      <c r="A837" s="1" t="s">
        <v>1538</v>
      </c>
      <c r="B837" s="1" t="s">
        <v>16</v>
      </c>
      <c r="C837" s="1" t="s">
        <v>19</v>
      </c>
      <c r="D837" s="6" t="s">
        <v>1363</v>
      </c>
      <c r="E837" s="6" t="s">
        <v>398</v>
      </c>
      <c r="F837" s="6">
        <v>24.0</v>
      </c>
      <c r="G837" s="1" t="s">
        <v>14</v>
      </c>
      <c r="H837" s="7">
        <f t="shared" ref="H837:I837" si="838">DATE(MID(D837,7,4), MID(D837,4,2), LEFT(D837,2)) + TIMEVALUE(MID(D837,12,5))
</f>
        <v>46066.375</v>
      </c>
      <c r="I837" s="7">
        <f t="shared" si="838"/>
        <v>46068.54167</v>
      </c>
      <c r="J837" s="4">
        <f t="shared" si="3"/>
        <v>52</v>
      </c>
      <c r="K837" s="4" t="str">
        <f t="shared" si="4"/>
        <v>Breached</v>
      </c>
    </row>
    <row r="838">
      <c r="A838" s="1" t="s">
        <v>1539</v>
      </c>
      <c r="B838" s="1" t="s">
        <v>16</v>
      </c>
      <c r="C838" s="1" t="s">
        <v>19</v>
      </c>
      <c r="D838" s="5">
        <v>46267.333333333336</v>
      </c>
      <c r="E838" s="5">
        <v>46328.333333333336</v>
      </c>
      <c r="F838" s="6">
        <v>24.0</v>
      </c>
      <c r="G838" s="1" t="s">
        <v>14</v>
      </c>
      <c r="H838" s="7">
        <f t="shared" ref="H838:I838" si="839">DATE(MID(D838,7,4), MID(D838,4,2), LEFT(D838,2)) + TIMEVALUE(MID(D838,12,5))
</f>
        <v>46062.33333</v>
      </c>
      <c r="I838" s="7">
        <f t="shared" si="839"/>
        <v>46064.33333</v>
      </c>
      <c r="J838" s="4">
        <f t="shared" si="3"/>
        <v>48</v>
      </c>
      <c r="K838" s="4" t="str">
        <f t="shared" si="4"/>
        <v>Breached</v>
      </c>
    </row>
    <row r="839">
      <c r="A839" s="1" t="s">
        <v>1540</v>
      </c>
      <c r="B839" s="1" t="s">
        <v>18</v>
      </c>
      <c r="C839" s="1" t="s">
        <v>19</v>
      </c>
      <c r="D839" s="5">
        <v>46144.041666666664</v>
      </c>
      <c r="E839" s="5">
        <v>46236.916666666664</v>
      </c>
      <c r="F839" s="6">
        <v>24.0</v>
      </c>
      <c r="G839" s="1" t="s">
        <v>14</v>
      </c>
      <c r="H839" s="7">
        <f t="shared" ref="H839:I839" si="840">DATE(MID(D839,7,4), MID(D839,4,2), LEFT(D839,2)) + TIMEVALUE(MID(D839,12,5))
</f>
        <v>46058.04167</v>
      </c>
      <c r="I839" s="7">
        <f t="shared" si="840"/>
        <v>46061.91667</v>
      </c>
      <c r="J839" s="4">
        <f t="shared" si="3"/>
        <v>93</v>
      </c>
      <c r="K839" s="4" t="str">
        <f t="shared" si="4"/>
        <v>Breached</v>
      </c>
    </row>
    <row r="840">
      <c r="A840" s="1" t="s">
        <v>1541</v>
      </c>
      <c r="B840" s="1" t="s">
        <v>11</v>
      </c>
      <c r="C840" s="1" t="s">
        <v>19</v>
      </c>
      <c r="D840" s="5">
        <v>46237.75</v>
      </c>
      <c r="E840" s="5">
        <v>46298.166666666664</v>
      </c>
      <c r="F840" s="6">
        <v>24.0</v>
      </c>
      <c r="G840" s="1" t="s">
        <v>14</v>
      </c>
      <c r="H840" s="7">
        <f t="shared" ref="H840:I840" si="841">DATE(MID(D840,7,4), MID(D840,4,2), LEFT(D840,2)) + TIMEVALUE(MID(D840,12,5))
</f>
        <v>46089.75</v>
      </c>
      <c r="I840" s="7">
        <f t="shared" si="841"/>
        <v>46091.16667</v>
      </c>
      <c r="J840" s="4">
        <f t="shared" si="3"/>
        <v>34</v>
      </c>
      <c r="K840" s="4" t="str">
        <f t="shared" si="4"/>
        <v>Breached</v>
      </c>
    </row>
    <row r="841">
      <c r="A841" s="1" t="s">
        <v>1542</v>
      </c>
      <c r="B841" s="1" t="s">
        <v>23</v>
      </c>
      <c r="C841" s="1" t="s">
        <v>19</v>
      </c>
      <c r="D841" s="6" t="s">
        <v>1543</v>
      </c>
      <c r="E841" s="6" t="s">
        <v>1520</v>
      </c>
      <c r="F841" s="6">
        <v>24.0</v>
      </c>
      <c r="G841" s="1" t="s">
        <v>14</v>
      </c>
      <c r="H841" s="7">
        <f t="shared" ref="H841:I841" si="842">DATE(MID(D841,7,4), MID(D841,4,2), LEFT(D841,2)) + TIMEVALUE(MID(D841,12,5))
</f>
        <v>46078.75</v>
      </c>
      <c r="I841" s="7">
        <f t="shared" si="842"/>
        <v>46081.66667</v>
      </c>
      <c r="J841" s="4">
        <f t="shared" si="3"/>
        <v>70</v>
      </c>
      <c r="K841" s="4" t="str">
        <f t="shared" si="4"/>
        <v>Breached</v>
      </c>
    </row>
    <row r="842">
      <c r="A842" s="1" t="s">
        <v>1544</v>
      </c>
      <c r="B842" s="1" t="s">
        <v>23</v>
      </c>
      <c r="C842" s="1" t="s">
        <v>12</v>
      </c>
      <c r="D842" s="6" t="s">
        <v>1545</v>
      </c>
      <c r="E842" s="6" t="s">
        <v>265</v>
      </c>
      <c r="F842" s="6">
        <v>72.0</v>
      </c>
      <c r="G842" s="1" t="s">
        <v>14</v>
      </c>
      <c r="H842" s="7">
        <f t="shared" ref="H842:I842" si="843">DATE(MID(D842,7,4), MID(D842,4,2), LEFT(D842,2)) + TIMEVALUE(MID(D842,12,5))
</f>
        <v>46096.20833</v>
      </c>
      <c r="I842" s="7">
        <f t="shared" si="843"/>
        <v>46097.58333</v>
      </c>
      <c r="J842" s="4">
        <f t="shared" si="3"/>
        <v>33</v>
      </c>
      <c r="K842" s="4" t="str">
        <f t="shared" si="4"/>
        <v>Within SLA</v>
      </c>
    </row>
    <row r="843">
      <c r="A843" s="1" t="s">
        <v>1546</v>
      </c>
      <c r="B843" s="1" t="s">
        <v>18</v>
      </c>
      <c r="C843" s="1" t="s">
        <v>19</v>
      </c>
      <c r="D843" s="6" t="s">
        <v>418</v>
      </c>
      <c r="E843" s="6" t="s">
        <v>763</v>
      </c>
      <c r="F843" s="6">
        <v>24.0</v>
      </c>
      <c r="G843" s="1" t="s">
        <v>14</v>
      </c>
      <c r="H843" s="7">
        <f t="shared" ref="H843:I843" si="844">DATE(MID(D843,7,4), MID(D843,4,2), LEFT(D843,2)) + TIMEVALUE(MID(D843,12,5))
</f>
        <v>46076.5</v>
      </c>
      <c r="I843" s="7">
        <f t="shared" si="844"/>
        <v>46079.66667</v>
      </c>
      <c r="J843" s="4">
        <f t="shared" si="3"/>
        <v>76</v>
      </c>
      <c r="K843" s="4" t="str">
        <f t="shared" si="4"/>
        <v>Breached</v>
      </c>
    </row>
    <row r="844">
      <c r="A844" s="1" t="s">
        <v>1547</v>
      </c>
      <c r="B844" s="1" t="s">
        <v>23</v>
      </c>
      <c r="C844" s="1" t="s">
        <v>12</v>
      </c>
      <c r="D844" s="5">
        <v>46025.708333333336</v>
      </c>
      <c r="E844" s="5">
        <v>46115.125</v>
      </c>
      <c r="F844" s="6">
        <v>72.0</v>
      </c>
      <c r="G844" s="1" t="s">
        <v>14</v>
      </c>
      <c r="H844" s="7">
        <f t="shared" ref="H844:I844" si="845">DATE(MID(D844,7,4), MID(D844,4,2), LEFT(D844,2)) + TIMEVALUE(MID(D844,12,5))
</f>
        <v>46082.70833</v>
      </c>
      <c r="I844" s="7">
        <f t="shared" si="845"/>
        <v>46085.125</v>
      </c>
      <c r="J844" s="4">
        <f t="shared" si="3"/>
        <v>58</v>
      </c>
      <c r="K844" s="4" t="str">
        <f t="shared" si="4"/>
        <v>Within SLA</v>
      </c>
    </row>
    <row r="845">
      <c r="A845" s="1" t="s">
        <v>1548</v>
      </c>
      <c r="B845" s="1" t="s">
        <v>16</v>
      </c>
      <c r="C845" s="1" t="s">
        <v>19</v>
      </c>
      <c r="D845" s="5">
        <v>46296.708333333336</v>
      </c>
      <c r="E845" s="5">
        <v>46327.833333333336</v>
      </c>
      <c r="F845" s="6">
        <v>24.0</v>
      </c>
      <c r="G845" s="1" t="s">
        <v>14</v>
      </c>
      <c r="H845" s="7">
        <f t="shared" ref="H845:I845" si="846">DATE(MID(D845,7,4), MID(D845,4,2), LEFT(D845,2)) + TIMEVALUE(MID(D845,12,5))
</f>
        <v>46032.70833</v>
      </c>
      <c r="I845" s="7">
        <f t="shared" si="846"/>
        <v>46033.83333</v>
      </c>
      <c r="J845" s="4">
        <f t="shared" si="3"/>
        <v>27</v>
      </c>
      <c r="K845" s="4" t="str">
        <f t="shared" si="4"/>
        <v>Breached</v>
      </c>
    </row>
    <row r="846">
      <c r="A846" s="1" t="s">
        <v>1549</v>
      </c>
      <c r="B846" s="1" t="s">
        <v>18</v>
      </c>
      <c r="C846" s="1" t="s">
        <v>35</v>
      </c>
      <c r="D846" s="6" t="s">
        <v>1550</v>
      </c>
      <c r="E846" s="6" t="s">
        <v>1551</v>
      </c>
      <c r="F846" s="6">
        <v>48.0</v>
      </c>
      <c r="G846" s="1" t="s">
        <v>14</v>
      </c>
      <c r="H846" s="7">
        <f t="shared" ref="H846:I846" si="847">DATE(MID(D846,7,4), MID(D846,4,2), LEFT(D846,2)) + TIMEVALUE(MID(D846,12,5))
</f>
        <v>46043.75</v>
      </c>
      <c r="I846" s="7">
        <f t="shared" si="847"/>
        <v>46047.66667</v>
      </c>
      <c r="J846" s="4">
        <f t="shared" si="3"/>
        <v>94</v>
      </c>
      <c r="K846" s="4" t="str">
        <f t="shared" si="4"/>
        <v>Breached</v>
      </c>
    </row>
    <row r="847">
      <c r="A847" s="1" t="s">
        <v>1552</v>
      </c>
      <c r="B847" s="1" t="s">
        <v>16</v>
      </c>
      <c r="C847" s="1" t="s">
        <v>19</v>
      </c>
      <c r="D847" s="6" t="s">
        <v>1325</v>
      </c>
      <c r="E847" s="6" t="s">
        <v>709</v>
      </c>
      <c r="F847" s="6">
        <v>24.0</v>
      </c>
      <c r="G847" s="1" t="s">
        <v>14</v>
      </c>
      <c r="H847" s="7">
        <f t="shared" ref="H847:I847" si="848">DATE(MID(D847,7,4), MID(D847,4,2), LEFT(D847,2)) + TIMEVALUE(MID(D847,12,5))
</f>
        <v>46078.70833</v>
      </c>
      <c r="I847" s="7">
        <f t="shared" si="848"/>
        <v>46080.70833</v>
      </c>
      <c r="J847" s="4">
        <f t="shared" si="3"/>
        <v>48</v>
      </c>
      <c r="K847" s="4" t="str">
        <f t="shared" si="4"/>
        <v>Breached</v>
      </c>
    </row>
    <row r="848">
      <c r="A848" s="1" t="s">
        <v>1553</v>
      </c>
      <c r="B848" s="1" t="s">
        <v>34</v>
      </c>
      <c r="C848" s="1" t="s">
        <v>35</v>
      </c>
      <c r="D848" s="6" t="s">
        <v>1554</v>
      </c>
      <c r="E848" s="6" t="s">
        <v>418</v>
      </c>
      <c r="F848" s="6">
        <v>48.0</v>
      </c>
      <c r="G848" s="1" t="s">
        <v>14</v>
      </c>
      <c r="H848" s="7">
        <f t="shared" ref="H848:I848" si="849">DATE(MID(D848,7,4), MID(D848,4,2), LEFT(D848,2)) + TIMEVALUE(MID(D848,12,5))
</f>
        <v>46073.125</v>
      </c>
      <c r="I848" s="7">
        <f t="shared" si="849"/>
        <v>46076.5</v>
      </c>
      <c r="J848" s="4">
        <f t="shared" si="3"/>
        <v>81</v>
      </c>
      <c r="K848" s="4" t="str">
        <f t="shared" si="4"/>
        <v>Breached</v>
      </c>
    </row>
    <row r="849">
      <c r="A849" s="1" t="s">
        <v>1555</v>
      </c>
      <c r="B849" s="1" t="s">
        <v>34</v>
      </c>
      <c r="C849" s="1" t="s">
        <v>19</v>
      </c>
      <c r="D849" s="5">
        <v>46268.0</v>
      </c>
      <c r="E849" s="5">
        <v>46268.875</v>
      </c>
      <c r="F849" s="6">
        <v>24.0</v>
      </c>
      <c r="G849" s="1" t="s">
        <v>14</v>
      </c>
      <c r="H849" s="7">
        <f t="shared" ref="H849:I849" si="850">DATE(MID(D849,7,4), MID(D849,4,2), LEFT(D849,2)) + TIMEVALUE(MID(D849,12,5))
</f>
        <v>46090</v>
      </c>
      <c r="I849" s="7">
        <f t="shared" si="850"/>
        <v>46090.875</v>
      </c>
      <c r="J849" s="4">
        <f t="shared" si="3"/>
        <v>21</v>
      </c>
      <c r="K849" s="4" t="str">
        <f t="shared" si="4"/>
        <v>Within SLA</v>
      </c>
    </row>
    <row r="850">
      <c r="A850" s="1" t="s">
        <v>1556</v>
      </c>
      <c r="B850" s="1" t="s">
        <v>23</v>
      </c>
      <c r="C850" s="1" t="s">
        <v>35</v>
      </c>
      <c r="D850" s="6" t="s">
        <v>44</v>
      </c>
      <c r="E850" s="6" t="s">
        <v>1557</v>
      </c>
      <c r="F850" s="6">
        <v>48.0</v>
      </c>
      <c r="G850" s="1" t="s">
        <v>14</v>
      </c>
      <c r="H850" s="7">
        <f t="shared" ref="H850:I850" si="851">DATE(MID(D850,7,4), MID(D850,4,2), LEFT(D850,2)) + TIMEVALUE(MID(D850,12,5))
</f>
        <v>46099.20833</v>
      </c>
      <c r="I850" s="7">
        <f t="shared" si="851"/>
        <v>46101.16667</v>
      </c>
      <c r="J850" s="4">
        <f t="shared" si="3"/>
        <v>47</v>
      </c>
      <c r="K850" s="4" t="str">
        <f t="shared" si="4"/>
        <v>Within SLA</v>
      </c>
    </row>
    <row r="851">
      <c r="A851" s="1" t="s">
        <v>1558</v>
      </c>
      <c r="B851" s="1" t="s">
        <v>34</v>
      </c>
      <c r="C851" s="1" t="s">
        <v>35</v>
      </c>
      <c r="D851" s="6" t="s">
        <v>1559</v>
      </c>
      <c r="E851" s="6" t="s">
        <v>1560</v>
      </c>
      <c r="F851" s="6">
        <v>48.0</v>
      </c>
      <c r="G851" s="1" t="s">
        <v>14</v>
      </c>
      <c r="H851" s="7">
        <f t="shared" ref="H851:I851" si="852">DATE(MID(D851,7,4), MID(D851,4,2), LEFT(D851,2)) + TIMEVALUE(MID(D851,12,5))
</f>
        <v>46077.29167</v>
      </c>
      <c r="I851" s="7">
        <f t="shared" si="852"/>
        <v>46079.75</v>
      </c>
      <c r="J851" s="4">
        <f t="shared" si="3"/>
        <v>59</v>
      </c>
      <c r="K851" s="4" t="str">
        <f t="shared" si="4"/>
        <v>Breached</v>
      </c>
    </row>
    <row r="852">
      <c r="A852" s="1" t="s">
        <v>1561</v>
      </c>
      <c r="B852" s="1" t="s">
        <v>16</v>
      </c>
      <c r="C852" s="1" t="s">
        <v>12</v>
      </c>
      <c r="D852" s="5">
        <v>46357.958333333336</v>
      </c>
      <c r="E852" s="6" t="s">
        <v>325</v>
      </c>
      <c r="F852" s="6">
        <v>72.0</v>
      </c>
      <c r="G852" s="1" t="s">
        <v>14</v>
      </c>
      <c r="H852" s="7">
        <f t="shared" ref="H852:I852" si="853">DATE(MID(D852,7,4), MID(D852,4,2), LEFT(D852,2)) + TIMEVALUE(MID(D852,12,5))
</f>
        <v>46034.95833</v>
      </c>
      <c r="I852" s="7">
        <f t="shared" si="853"/>
        <v>46035.54167</v>
      </c>
      <c r="J852" s="4">
        <f t="shared" si="3"/>
        <v>14</v>
      </c>
      <c r="K852" s="4" t="str">
        <f t="shared" si="4"/>
        <v>Within SLA</v>
      </c>
    </row>
    <row r="853">
      <c r="A853" s="1" t="s">
        <v>1562</v>
      </c>
      <c r="B853" s="1" t="s">
        <v>11</v>
      </c>
      <c r="C853" s="1" t="s">
        <v>19</v>
      </c>
      <c r="D853" s="5">
        <v>46175.875</v>
      </c>
      <c r="E853" s="5">
        <v>46297.416666666664</v>
      </c>
      <c r="F853" s="6">
        <v>24.0</v>
      </c>
      <c r="G853" s="1" t="s">
        <v>14</v>
      </c>
      <c r="H853" s="7">
        <f t="shared" ref="H853:I853" si="854">DATE(MID(D853,7,4), MID(D853,4,2), LEFT(D853,2)) + TIMEVALUE(MID(D853,12,5))
</f>
        <v>46059.875</v>
      </c>
      <c r="I853" s="7">
        <f t="shared" si="854"/>
        <v>46063.41667</v>
      </c>
      <c r="J853" s="4">
        <f t="shared" si="3"/>
        <v>85</v>
      </c>
      <c r="K853" s="4" t="str">
        <f t="shared" si="4"/>
        <v>Breached</v>
      </c>
    </row>
    <row r="854">
      <c r="A854" s="1" t="s">
        <v>1563</v>
      </c>
      <c r="B854" s="1" t="s">
        <v>11</v>
      </c>
      <c r="C854" s="1" t="s">
        <v>35</v>
      </c>
      <c r="D854" s="6" t="s">
        <v>355</v>
      </c>
      <c r="E854" s="6" t="s">
        <v>1564</v>
      </c>
      <c r="F854" s="6">
        <v>48.0</v>
      </c>
      <c r="G854" s="1" t="s">
        <v>14</v>
      </c>
      <c r="H854" s="7">
        <f t="shared" ref="H854:I854" si="855">DATE(MID(D854,7,4), MID(D854,4,2), LEFT(D854,2)) + TIMEVALUE(MID(D854,12,5))
</f>
        <v>46043.95833</v>
      </c>
      <c r="I854" s="7">
        <f t="shared" si="855"/>
        <v>46044.54167</v>
      </c>
      <c r="J854" s="4">
        <f t="shared" si="3"/>
        <v>14</v>
      </c>
      <c r="K854" s="4" t="str">
        <f t="shared" si="4"/>
        <v>Within SLA</v>
      </c>
    </row>
    <row r="855">
      <c r="A855" s="1" t="s">
        <v>1565</v>
      </c>
      <c r="B855" s="1" t="s">
        <v>34</v>
      </c>
      <c r="C855" s="1" t="s">
        <v>12</v>
      </c>
      <c r="D855" s="5">
        <v>46357.5</v>
      </c>
      <c r="E855" s="6" t="s">
        <v>771</v>
      </c>
      <c r="F855" s="6">
        <v>72.0</v>
      </c>
      <c r="G855" s="1" t="s">
        <v>14</v>
      </c>
      <c r="H855" s="7">
        <f t="shared" ref="H855:I855" si="856">DATE(MID(D855,7,4), MID(D855,4,2), LEFT(D855,2)) + TIMEVALUE(MID(D855,12,5))
</f>
        <v>46034.5</v>
      </c>
      <c r="I855" s="7">
        <f t="shared" si="856"/>
        <v>46038.20833</v>
      </c>
      <c r="J855" s="4">
        <f t="shared" si="3"/>
        <v>89</v>
      </c>
      <c r="K855" s="4" t="str">
        <f t="shared" si="4"/>
        <v>Breached</v>
      </c>
    </row>
    <row r="856">
      <c r="A856" s="1" t="s">
        <v>1566</v>
      </c>
      <c r="B856" s="1" t="s">
        <v>34</v>
      </c>
      <c r="C856" s="1" t="s">
        <v>12</v>
      </c>
      <c r="D856" s="5">
        <v>46175.25</v>
      </c>
      <c r="E856" s="5">
        <v>46236.166666666664</v>
      </c>
      <c r="F856" s="6">
        <v>72.0</v>
      </c>
      <c r="G856" s="1" t="s">
        <v>14</v>
      </c>
      <c r="H856" s="7">
        <f t="shared" ref="H856:I856" si="857">DATE(MID(D856,7,4), MID(D856,4,2), LEFT(D856,2)) + TIMEVALUE(MID(D856,12,5))
</f>
        <v>46059.25</v>
      </c>
      <c r="I856" s="7">
        <f t="shared" si="857"/>
        <v>46061.16667</v>
      </c>
      <c r="J856" s="4">
        <f t="shared" si="3"/>
        <v>46</v>
      </c>
      <c r="K856" s="4" t="str">
        <f t="shared" si="4"/>
        <v>Within SLA</v>
      </c>
    </row>
    <row r="857">
      <c r="A857" s="1" t="s">
        <v>1567</v>
      </c>
      <c r="B857" s="1" t="s">
        <v>16</v>
      </c>
      <c r="C857" s="1" t="s">
        <v>19</v>
      </c>
      <c r="D857" s="5">
        <v>46082.833333333336</v>
      </c>
      <c r="E857" s="5">
        <v>46143.916666666664</v>
      </c>
      <c r="F857" s="6">
        <v>24.0</v>
      </c>
      <c r="G857" s="1" t="s">
        <v>14</v>
      </c>
      <c r="H857" s="7">
        <f t="shared" ref="H857:I857" si="858">DATE(MID(D857,7,4), MID(D857,4,2), LEFT(D857,2)) + TIMEVALUE(MID(D857,12,5))
</f>
        <v>46025.83333</v>
      </c>
      <c r="I857" s="7">
        <f t="shared" si="858"/>
        <v>46027.91667</v>
      </c>
      <c r="J857" s="4">
        <f t="shared" si="3"/>
        <v>50</v>
      </c>
      <c r="K857" s="4" t="str">
        <f t="shared" si="4"/>
        <v>Breached</v>
      </c>
    </row>
    <row r="858">
      <c r="A858" s="1" t="s">
        <v>1568</v>
      </c>
      <c r="B858" s="1" t="s">
        <v>18</v>
      </c>
      <c r="C858" s="1" t="s">
        <v>35</v>
      </c>
      <c r="D858" s="6" t="s">
        <v>679</v>
      </c>
      <c r="E858" s="6" t="s">
        <v>631</v>
      </c>
      <c r="F858" s="6">
        <v>48.0</v>
      </c>
      <c r="G858" s="1" t="s">
        <v>14</v>
      </c>
      <c r="H858" s="7">
        <f t="shared" ref="H858:I858" si="859">DATE(MID(D858,7,4), MID(D858,4,2), LEFT(D858,2)) + TIMEVALUE(MID(D858,12,5))
</f>
        <v>46067.75</v>
      </c>
      <c r="I858" s="7">
        <f t="shared" si="859"/>
        <v>46069.91667</v>
      </c>
      <c r="J858" s="4">
        <f t="shared" si="3"/>
        <v>52</v>
      </c>
      <c r="K858" s="4" t="str">
        <f t="shared" si="4"/>
        <v>Breached</v>
      </c>
    </row>
    <row r="859">
      <c r="A859" s="1" t="s">
        <v>1569</v>
      </c>
      <c r="B859" s="1" t="s">
        <v>16</v>
      </c>
      <c r="C859" s="1" t="s">
        <v>12</v>
      </c>
      <c r="D859" s="5">
        <v>46328.125</v>
      </c>
      <c r="E859" s="5">
        <v>46358.625</v>
      </c>
      <c r="F859" s="6">
        <v>72.0</v>
      </c>
      <c r="G859" s="1" t="s">
        <v>14</v>
      </c>
      <c r="H859" s="7">
        <f t="shared" ref="H859:I859" si="860">DATE(MID(D859,7,4), MID(D859,4,2), LEFT(D859,2)) + TIMEVALUE(MID(D859,12,5))
</f>
        <v>46064.125</v>
      </c>
      <c r="I859" s="7">
        <f t="shared" si="860"/>
        <v>46065.625</v>
      </c>
      <c r="J859" s="4">
        <f t="shared" si="3"/>
        <v>36</v>
      </c>
      <c r="K859" s="4" t="str">
        <f t="shared" si="4"/>
        <v>Within SLA</v>
      </c>
    </row>
    <row r="860">
      <c r="A860" s="1" t="s">
        <v>1570</v>
      </c>
      <c r="B860" s="1" t="s">
        <v>16</v>
      </c>
      <c r="C860" s="1" t="s">
        <v>35</v>
      </c>
      <c r="D860" s="6" t="s">
        <v>1571</v>
      </c>
      <c r="E860" s="6" t="s">
        <v>1572</v>
      </c>
      <c r="F860" s="6">
        <v>48.0</v>
      </c>
      <c r="G860" s="1" t="s">
        <v>14</v>
      </c>
      <c r="H860" s="7">
        <f t="shared" ref="H860:I860" si="861">DATE(MID(D860,7,4), MID(D860,4,2), LEFT(D860,2)) + TIMEVALUE(MID(D860,12,5))
</f>
        <v>46069.375</v>
      </c>
      <c r="I860" s="7">
        <f t="shared" si="861"/>
        <v>46072.375</v>
      </c>
      <c r="J860" s="4">
        <f t="shared" si="3"/>
        <v>72</v>
      </c>
      <c r="K860" s="4" t="str">
        <f t="shared" si="4"/>
        <v>Breached</v>
      </c>
    </row>
    <row r="861">
      <c r="A861" s="1" t="s">
        <v>1573</v>
      </c>
      <c r="B861" s="1" t="s">
        <v>16</v>
      </c>
      <c r="C861" s="1" t="s">
        <v>12</v>
      </c>
      <c r="D861" s="6" t="s">
        <v>1313</v>
      </c>
      <c r="E861" s="5">
        <v>46056.041666666664</v>
      </c>
      <c r="F861" s="6">
        <v>72.0</v>
      </c>
      <c r="G861" s="1" t="s">
        <v>14</v>
      </c>
      <c r="H861" s="7">
        <f t="shared" ref="H861:I861" si="862">DATE(MID(D861,7,4), MID(D861,4,2), LEFT(D861,2)) + TIMEVALUE(MID(D861,12,5))
</f>
        <v>46081.41667</v>
      </c>
      <c r="I861" s="7">
        <f t="shared" si="862"/>
        <v>46083.04167</v>
      </c>
      <c r="J861" s="4">
        <f t="shared" si="3"/>
        <v>39</v>
      </c>
      <c r="K861" s="4" t="str">
        <f t="shared" si="4"/>
        <v>Within SLA</v>
      </c>
    </row>
    <row r="862">
      <c r="A862" s="1" t="s">
        <v>1574</v>
      </c>
      <c r="B862" s="1" t="s">
        <v>11</v>
      </c>
      <c r="C862" s="1" t="s">
        <v>19</v>
      </c>
      <c r="D862" s="6" t="s">
        <v>296</v>
      </c>
      <c r="E862" s="5">
        <v>46056.875</v>
      </c>
      <c r="F862" s="6">
        <v>24.0</v>
      </c>
      <c r="G862" s="1" t="s">
        <v>14</v>
      </c>
      <c r="H862" s="7">
        <f t="shared" ref="H862:I862" si="863">DATE(MID(D862,7,4), MID(D862,4,2), LEFT(D862,2)) + TIMEVALUE(MID(D862,12,5))
</f>
        <v>46080.125</v>
      </c>
      <c r="I862" s="7">
        <f t="shared" si="863"/>
        <v>46083.875</v>
      </c>
      <c r="J862" s="4">
        <f t="shared" si="3"/>
        <v>90</v>
      </c>
      <c r="K862" s="4" t="str">
        <f t="shared" si="4"/>
        <v>Breached</v>
      </c>
    </row>
    <row r="863">
      <c r="A863" s="1" t="s">
        <v>1575</v>
      </c>
      <c r="B863" s="1" t="s">
        <v>11</v>
      </c>
      <c r="C863" s="1" t="s">
        <v>35</v>
      </c>
      <c r="D863" s="6" t="s">
        <v>1161</v>
      </c>
      <c r="E863" s="6" t="s">
        <v>1576</v>
      </c>
      <c r="F863" s="6">
        <v>48.0</v>
      </c>
      <c r="G863" s="1" t="s">
        <v>14</v>
      </c>
      <c r="H863" s="7">
        <f t="shared" ref="H863:I863" si="864">DATE(MID(D863,7,4), MID(D863,4,2), LEFT(D863,2)) + TIMEVALUE(MID(D863,12,5))
</f>
        <v>46044.04167</v>
      </c>
      <c r="I863" s="7">
        <f t="shared" si="864"/>
        <v>46045.41667</v>
      </c>
      <c r="J863" s="4">
        <f t="shared" si="3"/>
        <v>33</v>
      </c>
      <c r="K863" s="4" t="str">
        <f t="shared" si="4"/>
        <v>Within SLA</v>
      </c>
    </row>
    <row r="864">
      <c r="A864" s="1" t="s">
        <v>1577</v>
      </c>
      <c r="B864" s="1" t="s">
        <v>34</v>
      </c>
      <c r="C864" s="1" t="s">
        <v>35</v>
      </c>
      <c r="D864" s="6" t="s">
        <v>1417</v>
      </c>
      <c r="E864" s="6" t="s">
        <v>1578</v>
      </c>
      <c r="F864" s="6">
        <v>48.0</v>
      </c>
      <c r="G864" s="1" t="s">
        <v>14</v>
      </c>
      <c r="H864" s="7">
        <f t="shared" ref="H864:I864" si="865">DATE(MID(D864,7,4), MID(D864,4,2), LEFT(D864,2)) + TIMEVALUE(MID(D864,12,5))
</f>
        <v>46102.70833</v>
      </c>
      <c r="I864" s="7">
        <f t="shared" si="865"/>
        <v>46103.45833</v>
      </c>
      <c r="J864" s="4">
        <f t="shared" si="3"/>
        <v>18</v>
      </c>
      <c r="K864" s="4" t="str">
        <f t="shared" si="4"/>
        <v>Within SLA</v>
      </c>
    </row>
    <row r="865">
      <c r="A865" s="1" t="s">
        <v>1579</v>
      </c>
      <c r="B865" s="1" t="s">
        <v>18</v>
      </c>
      <c r="C865" s="1" t="s">
        <v>12</v>
      </c>
      <c r="D865" s="5">
        <v>46328.125</v>
      </c>
      <c r="E865" s="5">
        <v>46328.958333333336</v>
      </c>
      <c r="F865" s="6">
        <v>72.0</v>
      </c>
      <c r="G865" s="1" t="s">
        <v>14</v>
      </c>
      <c r="H865" s="7">
        <f t="shared" ref="H865:I865" si="866">DATE(MID(D865,7,4), MID(D865,4,2), LEFT(D865,2)) + TIMEVALUE(MID(D865,12,5))
</f>
        <v>46064.125</v>
      </c>
      <c r="I865" s="7">
        <f t="shared" si="866"/>
        <v>46064.95833</v>
      </c>
      <c r="J865" s="4">
        <f t="shared" si="3"/>
        <v>20</v>
      </c>
      <c r="K865" s="4" t="str">
        <f t="shared" si="4"/>
        <v>Within SLA</v>
      </c>
    </row>
    <row r="866">
      <c r="A866" s="1" t="s">
        <v>1580</v>
      </c>
      <c r="B866" s="1" t="s">
        <v>11</v>
      </c>
      <c r="C866" s="1" t="s">
        <v>19</v>
      </c>
      <c r="D866" s="5">
        <v>46145.166666666664</v>
      </c>
      <c r="E866" s="5">
        <v>46237.75</v>
      </c>
      <c r="F866" s="6">
        <v>24.0</v>
      </c>
      <c r="G866" s="1" t="s">
        <v>14</v>
      </c>
      <c r="H866" s="7">
        <f t="shared" ref="H866:I866" si="867">DATE(MID(D866,7,4), MID(D866,4,2), LEFT(D866,2)) + TIMEVALUE(MID(D866,12,5))
</f>
        <v>46086.16667</v>
      </c>
      <c r="I866" s="7">
        <f t="shared" si="867"/>
        <v>46089.75</v>
      </c>
      <c r="J866" s="4">
        <f t="shared" si="3"/>
        <v>86</v>
      </c>
      <c r="K866" s="4" t="str">
        <f t="shared" si="4"/>
        <v>Breached</v>
      </c>
    </row>
    <row r="867">
      <c r="A867" s="1" t="s">
        <v>1581</v>
      </c>
      <c r="B867" s="1" t="s">
        <v>18</v>
      </c>
      <c r="C867" s="1" t="s">
        <v>19</v>
      </c>
      <c r="D867" s="6" t="s">
        <v>520</v>
      </c>
      <c r="E867" s="6" t="s">
        <v>1582</v>
      </c>
      <c r="F867" s="6">
        <v>24.0</v>
      </c>
      <c r="G867" s="1" t="s">
        <v>14</v>
      </c>
      <c r="H867" s="7">
        <f t="shared" ref="H867:I867" si="868">DATE(MID(D867,7,4), MID(D867,4,2), LEFT(D867,2)) + TIMEVALUE(MID(D867,12,5))
</f>
        <v>46038.125</v>
      </c>
      <c r="I867" s="7">
        <f t="shared" si="868"/>
        <v>46040.41667</v>
      </c>
      <c r="J867" s="4">
        <f t="shared" si="3"/>
        <v>55</v>
      </c>
      <c r="K867" s="4" t="str">
        <f t="shared" si="4"/>
        <v>Breached</v>
      </c>
    </row>
    <row r="868">
      <c r="A868" s="1" t="s">
        <v>1583</v>
      </c>
      <c r="B868" s="1" t="s">
        <v>11</v>
      </c>
      <c r="C868" s="1" t="s">
        <v>35</v>
      </c>
      <c r="D868" s="5">
        <v>46023.541666666664</v>
      </c>
      <c r="E868" s="5">
        <v>46113.125</v>
      </c>
      <c r="F868" s="6">
        <v>48.0</v>
      </c>
      <c r="G868" s="1" t="s">
        <v>14</v>
      </c>
      <c r="H868" s="7">
        <f t="shared" ref="H868:I868" si="869">DATE(MID(D868,7,4), MID(D868,4,2), LEFT(D868,2)) + TIMEVALUE(MID(D868,12,5))
</f>
        <v>46023.54167</v>
      </c>
      <c r="I868" s="7">
        <f t="shared" si="869"/>
        <v>46026.125</v>
      </c>
      <c r="J868" s="4">
        <f t="shared" si="3"/>
        <v>62</v>
      </c>
      <c r="K868" s="4" t="str">
        <f t="shared" si="4"/>
        <v>Breached</v>
      </c>
    </row>
    <row r="869">
      <c r="A869" s="1" t="s">
        <v>1584</v>
      </c>
      <c r="B869" s="1" t="s">
        <v>23</v>
      </c>
      <c r="C869" s="1" t="s">
        <v>35</v>
      </c>
      <c r="D869" s="5">
        <v>46056.541666666664</v>
      </c>
      <c r="E869" s="5">
        <v>46145.708333333336</v>
      </c>
      <c r="F869" s="6">
        <v>48.0</v>
      </c>
      <c r="G869" s="1" t="s">
        <v>14</v>
      </c>
      <c r="H869" s="7">
        <f t="shared" ref="H869:I869" si="870">DATE(MID(D869,7,4), MID(D869,4,2), LEFT(D869,2)) + TIMEVALUE(MID(D869,12,5))
</f>
        <v>46083.54167</v>
      </c>
      <c r="I869" s="7">
        <f t="shared" si="870"/>
        <v>46086.70833</v>
      </c>
      <c r="J869" s="4">
        <f t="shared" si="3"/>
        <v>76</v>
      </c>
      <c r="K869" s="4" t="str">
        <f t="shared" si="4"/>
        <v>Breached</v>
      </c>
    </row>
    <row r="870">
      <c r="A870" s="1" t="s">
        <v>1585</v>
      </c>
      <c r="B870" s="1" t="s">
        <v>11</v>
      </c>
      <c r="C870" s="1" t="s">
        <v>35</v>
      </c>
      <c r="D870" s="5">
        <v>46357.916666666664</v>
      </c>
      <c r="E870" s="6" t="s">
        <v>872</v>
      </c>
      <c r="F870" s="6">
        <v>48.0</v>
      </c>
      <c r="G870" s="1" t="s">
        <v>14</v>
      </c>
      <c r="H870" s="7">
        <f t="shared" ref="H870:I870" si="871">DATE(MID(D870,7,4), MID(D870,4,2), LEFT(D870,2)) + TIMEVALUE(MID(D870,12,5))
</f>
        <v>46034.91667</v>
      </c>
      <c r="I870" s="7">
        <f t="shared" si="871"/>
        <v>46035.45833</v>
      </c>
      <c r="J870" s="4">
        <f t="shared" si="3"/>
        <v>13</v>
      </c>
      <c r="K870" s="4" t="str">
        <f t="shared" si="4"/>
        <v>Within SLA</v>
      </c>
    </row>
    <row r="871">
      <c r="A871" s="1" t="s">
        <v>1586</v>
      </c>
      <c r="B871" s="1" t="s">
        <v>18</v>
      </c>
      <c r="C871" s="1" t="s">
        <v>12</v>
      </c>
      <c r="D871" s="6" t="s">
        <v>58</v>
      </c>
      <c r="E871" s="6" t="s">
        <v>923</v>
      </c>
      <c r="F871" s="6">
        <v>72.0</v>
      </c>
      <c r="G871" s="1" t="s">
        <v>14</v>
      </c>
      <c r="H871" s="7">
        <f t="shared" ref="H871:I871" si="872">DATE(MID(D871,7,4), MID(D871,4,2), LEFT(D871,2)) + TIMEVALUE(MID(D871,12,5))
</f>
        <v>46045.875</v>
      </c>
      <c r="I871" s="7">
        <f t="shared" si="872"/>
        <v>46047.45833</v>
      </c>
      <c r="J871" s="4">
        <f t="shared" si="3"/>
        <v>38</v>
      </c>
      <c r="K871" s="4" t="str">
        <f t="shared" si="4"/>
        <v>Within SLA</v>
      </c>
    </row>
    <row r="872">
      <c r="A872" s="1" t="s">
        <v>1587</v>
      </c>
      <c r="B872" s="1" t="s">
        <v>34</v>
      </c>
      <c r="C872" s="1" t="s">
        <v>19</v>
      </c>
      <c r="D872" s="5">
        <v>46023.791666666664</v>
      </c>
      <c r="E872" s="5">
        <v>46143.416666666664</v>
      </c>
      <c r="F872" s="6">
        <v>24.0</v>
      </c>
      <c r="G872" s="1" t="s">
        <v>14</v>
      </c>
      <c r="H872" s="7">
        <f t="shared" ref="H872:I872" si="873">DATE(MID(D872,7,4), MID(D872,4,2), LEFT(D872,2)) + TIMEVALUE(MID(D872,12,5))
</f>
        <v>46023.79167</v>
      </c>
      <c r="I872" s="7">
        <f t="shared" si="873"/>
        <v>46027.41667</v>
      </c>
      <c r="J872" s="4">
        <f t="shared" si="3"/>
        <v>87</v>
      </c>
      <c r="K872" s="4" t="str">
        <f t="shared" si="4"/>
        <v>Breached</v>
      </c>
    </row>
    <row r="873">
      <c r="A873" s="1" t="s">
        <v>1588</v>
      </c>
      <c r="B873" s="1" t="s">
        <v>11</v>
      </c>
      <c r="C873" s="1" t="s">
        <v>35</v>
      </c>
      <c r="D873" s="6" t="s">
        <v>183</v>
      </c>
      <c r="E873" s="6" t="s">
        <v>351</v>
      </c>
      <c r="F873" s="6">
        <v>48.0</v>
      </c>
      <c r="G873" s="1" t="s">
        <v>14</v>
      </c>
      <c r="H873" s="7">
        <f t="shared" ref="H873:I873" si="874">DATE(MID(D873,7,4), MID(D873,4,2), LEFT(D873,2)) + TIMEVALUE(MID(D873,12,5))
</f>
        <v>46044.125</v>
      </c>
      <c r="I873" s="7">
        <f t="shared" si="874"/>
        <v>46044.95833</v>
      </c>
      <c r="J873" s="4">
        <f t="shared" si="3"/>
        <v>20</v>
      </c>
      <c r="K873" s="4" t="str">
        <f t="shared" si="4"/>
        <v>Within SLA</v>
      </c>
    </row>
    <row r="874">
      <c r="A874" s="1" t="s">
        <v>1589</v>
      </c>
      <c r="B874" s="1" t="s">
        <v>23</v>
      </c>
      <c r="C874" s="1" t="s">
        <v>19</v>
      </c>
      <c r="D874" s="6" t="s">
        <v>1175</v>
      </c>
      <c r="E874" s="6" t="s">
        <v>1590</v>
      </c>
      <c r="F874" s="6">
        <v>24.0</v>
      </c>
      <c r="G874" s="1" t="s">
        <v>14</v>
      </c>
      <c r="H874" s="7">
        <f t="shared" ref="H874:I874" si="875">DATE(MID(D874,7,4), MID(D874,4,2), LEFT(D874,2)) + TIMEVALUE(MID(D874,12,5))
</f>
        <v>46105.875</v>
      </c>
      <c r="I874" s="7">
        <f t="shared" si="875"/>
        <v>46109.83333</v>
      </c>
      <c r="J874" s="4">
        <f t="shared" si="3"/>
        <v>95</v>
      </c>
      <c r="K874" s="4" t="str">
        <f t="shared" si="4"/>
        <v>Breached</v>
      </c>
    </row>
    <row r="875">
      <c r="A875" s="1" t="s">
        <v>1591</v>
      </c>
      <c r="B875" s="1" t="s">
        <v>11</v>
      </c>
      <c r="C875" s="1" t="s">
        <v>19</v>
      </c>
      <c r="D875" s="5">
        <v>46175.0</v>
      </c>
      <c r="E875" s="5">
        <v>46205.291666666664</v>
      </c>
      <c r="F875" s="6">
        <v>24.0</v>
      </c>
      <c r="G875" s="1" t="s">
        <v>14</v>
      </c>
      <c r="H875" s="7">
        <f t="shared" ref="H875:I875" si="876">DATE(MID(D875,7,4), MID(D875,4,2), LEFT(D875,2)) + TIMEVALUE(MID(D875,12,5))
</f>
        <v>46059</v>
      </c>
      <c r="I875" s="7">
        <f t="shared" si="876"/>
        <v>46060.29167</v>
      </c>
      <c r="J875" s="4">
        <f t="shared" si="3"/>
        <v>31</v>
      </c>
      <c r="K875" s="4" t="str">
        <f t="shared" si="4"/>
        <v>Breached</v>
      </c>
    </row>
    <row r="876">
      <c r="A876" s="1" t="s">
        <v>1592</v>
      </c>
      <c r="B876" s="1" t="s">
        <v>18</v>
      </c>
      <c r="C876" s="1" t="s">
        <v>19</v>
      </c>
      <c r="D876" s="5">
        <v>46114.375</v>
      </c>
      <c r="E876" s="5">
        <v>46144.791666666664</v>
      </c>
      <c r="F876" s="6">
        <v>24.0</v>
      </c>
      <c r="G876" s="1" t="s">
        <v>14</v>
      </c>
      <c r="H876" s="7">
        <f t="shared" ref="H876:I876" si="877">DATE(MID(D876,7,4), MID(D876,4,2), LEFT(D876,2)) + TIMEVALUE(MID(D876,12,5))
</f>
        <v>46057.375</v>
      </c>
      <c r="I876" s="7">
        <f t="shared" si="877"/>
        <v>46058.79167</v>
      </c>
      <c r="J876" s="4">
        <f t="shared" si="3"/>
        <v>34</v>
      </c>
      <c r="K876" s="4" t="str">
        <f t="shared" si="4"/>
        <v>Breached</v>
      </c>
    </row>
    <row r="877">
      <c r="A877" s="1" t="s">
        <v>1593</v>
      </c>
      <c r="B877" s="1" t="s">
        <v>16</v>
      </c>
      <c r="C877" s="1" t="s">
        <v>19</v>
      </c>
      <c r="D877" s="6" t="s">
        <v>1594</v>
      </c>
      <c r="E877" s="6" t="s">
        <v>1489</v>
      </c>
      <c r="F877" s="6">
        <v>24.0</v>
      </c>
      <c r="G877" s="1" t="s">
        <v>14</v>
      </c>
      <c r="H877" s="7">
        <f t="shared" ref="H877:I877" si="878">DATE(MID(D877,7,4), MID(D877,4,2), LEFT(D877,2)) + TIMEVALUE(MID(D877,12,5))
</f>
        <v>46068.29167</v>
      </c>
      <c r="I877" s="7">
        <f t="shared" si="878"/>
        <v>46070.91667</v>
      </c>
      <c r="J877" s="4">
        <f t="shared" si="3"/>
        <v>63</v>
      </c>
      <c r="K877" s="4" t="str">
        <f t="shared" si="4"/>
        <v>Breached</v>
      </c>
    </row>
    <row r="878">
      <c r="A878" s="1" t="s">
        <v>1595</v>
      </c>
      <c r="B878" s="1" t="s">
        <v>18</v>
      </c>
      <c r="C878" s="1" t="s">
        <v>35</v>
      </c>
      <c r="D878" s="5">
        <v>46024.875</v>
      </c>
      <c r="E878" s="5">
        <v>46083.833333333336</v>
      </c>
      <c r="F878" s="6">
        <v>48.0</v>
      </c>
      <c r="G878" s="1" t="s">
        <v>14</v>
      </c>
      <c r="H878" s="7">
        <f t="shared" ref="H878:I878" si="879">DATE(MID(D878,7,4), MID(D878,4,2), LEFT(D878,2)) + TIMEVALUE(MID(D878,12,5))
</f>
        <v>46054.875</v>
      </c>
      <c r="I878" s="7">
        <f t="shared" si="879"/>
        <v>46056.83333</v>
      </c>
      <c r="J878" s="4">
        <f t="shared" si="3"/>
        <v>47</v>
      </c>
      <c r="K878" s="4" t="str">
        <f t="shared" si="4"/>
        <v>Within SLA</v>
      </c>
    </row>
    <row r="879">
      <c r="A879" s="1" t="s">
        <v>1596</v>
      </c>
      <c r="B879" s="1" t="s">
        <v>18</v>
      </c>
      <c r="C879" s="1" t="s">
        <v>12</v>
      </c>
      <c r="D879" s="6" t="s">
        <v>195</v>
      </c>
      <c r="E879" s="6" t="s">
        <v>525</v>
      </c>
      <c r="F879" s="6">
        <v>72.0</v>
      </c>
      <c r="G879" s="1" t="s">
        <v>14</v>
      </c>
      <c r="H879" s="7">
        <f t="shared" ref="H879:I879" si="880">DATE(MID(D879,7,4), MID(D879,4,2), LEFT(D879,2)) + TIMEVALUE(MID(D879,12,5))
</f>
        <v>46100.54167</v>
      </c>
      <c r="I879" s="7">
        <f t="shared" si="880"/>
        <v>46103.75</v>
      </c>
      <c r="J879" s="4">
        <f t="shared" si="3"/>
        <v>77</v>
      </c>
      <c r="K879" s="4" t="str">
        <f t="shared" si="4"/>
        <v>Breached</v>
      </c>
    </row>
    <row r="880">
      <c r="A880" s="1" t="s">
        <v>1597</v>
      </c>
      <c r="B880" s="1" t="s">
        <v>34</v>
      </c>
      <c r="C880" s="1" t="s">
        <v>12</v>
      </c>
      <c r="D880" s="5">
        <v>46056.958333333336</v>
      </c>
      <c r="E880" s="5">
        <v>46176.875</v>
      </c>
      <c r="F880" s="6">
        <v>72.0</v>
      </c>
      <c r="G880" s="1" t="s">
        <v>14</v>
      </c>
      <c r="H880" s="7">
        <f t="shared" ref="H880:I880" si="881">DATE(MID(D880,7,4), MID(D880,4,2), LEFT(D880,2)) + TIMEVALUE(MID(D880,12,5))
</f>
        <v>46083.95833</v>
      </c>
      <c r="I880" s="7">
        <f t="shared" si="881"/>
        <v>46087.875</v>
      </c>
      <c r="J880" s="4">
        <f t="shared" si="3"/>
        <v>94</v>
      </c>
      <c r="K880" s="4" t="str">
        <f t="shared" si="4"/>
        <v>Breached</v>
      </c>
    </row>
    <row r="881">
      <c r="A881" s="1" t="s">
        <v>1598</v>
      </c>
      <c r="B881" s="1" t="s">
        <v>18</v>
      </c>
      <c r="C881" s="1" t="s">
        <v>35</v>
      </c>
      <c r="D881" s="6" t="s">
        <v>1106</v>
      </c>
      <c r="E881" s="6" t="s">
        <v>893</v>
      </c>
      <c r="F881" s="6">
        <v>48.0</v>
      </c>
      <c r="G881" s="1" t="s">
        <v>14</v>
      </c>
      <c r="H881" s="7">
        <f t="shared" ref="H881:I881" si="882">DATE(MID(D881,7,4), MID(D881,4,2), LEFT(D881,2)) + TIMEVALUE(MID(D881,12,5))
</f>
        <v>46074.625</v>
      </c>
      <c r="I881" s="7">
        <f t="shared" si="882"/>
        <v>46077.16667</v>
      </c>
      <c r="J881" s="4">
        <f t="shared" si="3"/>
        <v>61</v>
      </c>
      <c r="K881" s="4" t="str">
        <f t="shared" si="4"/>
        <v>Breached</v>
      </c>
    </row>
    <row r="882">
      <c r="A882" s="1" t="s">
        <v>1599</v>
      </c>
      <c r="B882" s="1" t="s">
        <v>18</v>
      </c>
      <c r="C882" s="1" t="s">
        <v>19</v>
      </c>
      <c r="D882" s="5">
        <v>46143.208333333336</v>
      </c>
      <c r="E882" s="5">
        <v>46235.833333333336</v>
      </c>
      <c r="F882" s="6">
        <v>24.0</v>
      </c>
      <c r="G882" s="1" t="s">
        <v>14</v>
      </c>
      <c r="H882" s="7">
        <f t="shared" ref="H882:I882" si="883">DATE(MID(D882,7,4), MID(D882,4,2), LEFT(D882,2)) + TIMEVALUE(MID(D882,12,5))
</f>
        <v>46027.20833</v>
      </c>
      <c r="I882" s="7">
        <f t="shared" si="883"/>
        <v>46030.83333</v>
      </c>
      <c r="J882" s="4">
        <f t="shared" si="3"/>
        <v>87</v>
      </c>
      <c r="K882" s="4" t="str">
        <f t="shared" si="4"/>
        <v>Breached</v>
      </c>
    </row>
    <row r="883">
      <c r="A883" s="1" t="s">
        <v>1600</v>
      </c>
      <c r="B883" s="1" t="s">
        <v>23</v>
      </c>
      <c r="C883" s="1" t="s">
        <v>35</v>
      </c>
      <c r="D883" s="6" t="s">
        <v>1085</v>
      </c>
      <c r="E883" s="6" t="s">
        <v>1245</v>
      </c>
      <c r="F883" s="6">
        <v>48.0</v>
      </c>
      <c r="G883" s="1" t="s">
        <v>14</v>
      </c>
      <c r="H883" s="7">
        <f t="shared" ref="H883:I883" si="884">DATE(MID(D883,7,4), MID(D883,4,2), LEFT(D883,2)) + TIMEVALUE(MID(D883,12,5))
</f>
        <v>46043.41667</v>
      </c>
      <c r="I883" s="7">
        <f t="shared" si="884"/>
        <v>46046.41667</v>
      </c>
      <c r="J883" s="4">
        <f t="shared" si="3"/>
        <v>72</v>
      </c>
      <c r="K883" s="4" t="str">
        <f t="shared" si="4"/>
        <v>Breached</v>
      </c>
    </row>
    <row r="884">
      <c r="A884" s="1" t="s">
        <v>1601</v>
      </c>
      <c r="B884" s="1" t="s">
        <v>16</v>
      </c>
      <c r="C884" s="1" t="s">
        <v>12</v>
      </c>
      <c r="D884" s="6" t="s">
        <v>341</v>
      </c>
      <c r="E884" s="6" t="s">
        <v>951</v>
      </c>
      <c r="F884" s="6">
        <v>72.0</v>
      </c>
      <c r="G884" s="1" t="s">
        <v>14</v>
      </c>
      <c r="H884" s="7">
        <f t="shared" ref="H884:I884" si="885">DATE(MID(D884,7,4), MID(D884,4,2), LEFT(D884,2)) + TIMEVALUE(MID(D884,12,5))
</f>
        <v>46036.79167</v>
      </c>
      <c r="I884" s="7">
        <f t="shared" si="885"/>
        <v>46039.45833</v>
      </c>
      <c r="J884" s="4">
        <f t="shared" si="3"/>
        <v>64</v>
      </c>
      <c r="K884" s="4" t="str">
        <f t="shared" si="4"/>
        <v>Within SLA</v>
      </c>
    </row>
    <row r="885">
      <c r="A885" s="1" t="s">
        <v>1602</v>
      </c>
      <c r="B885" s="1" t="s">
        <v>16</v>
      </c>
      <c r="C885" s="1" t="s">
        <v>19</v>
      </c>
      <c r="D885" s="5">
        <v>46145.458333333336</v>
      </c>
      <c r="E885" s="5">
        <v>46176.583333333336</v>
      </c>
      <c r="F885" s="6">
        <v>24.0</v>
      </c>
      <c r="G885" s="1" t="s">
        <v>14</v>
      </c>
      <c r="H885" s="7">
        <f t="shared" ref="H885:I885" si="886">DATE(MID(D885,7,4), MID(D885,4,2), LEFT(D885,2)) + TIMEVALUE(MID(D885,12,5))
</f>
        <v>46086.45833</v>
      </c>
      <c r="I885" s="7">
        <f t="shared" si="886"/>
        <v>46087.58333</v>
      </c>
      <c r="J885" s="4">
        <f t="shared" si="3"/>
        <v>27</v>
      </c>
      <c r="K885" s="4" t="str">
        <f t="shared" si="4"/>
        <v>Breached</v>
      </c>
    </row>
    <row r="886">
      <c r="A886" s="1" t="s">
        <v>1603</v>
      </c>
      <c r="B886" s="1" t="s">
        <v>34</v>
      </c>
      <c r="C886" s="1" t="s">
        <v>12</v>
      </c>
      <c r="D886" s="5">
        <v>46056.25</v>
      </c>
      <c r="E886" s="5">
        <v>46115.208333333336</v>
      </c>
      <c r="F886" s="6">
        <v>72.0</v>
      </c>
      <c r="G886" s="1" t="s">
        <v>14</v>
      </c>
      <c r="H886" s="7">
        <f t="shared" ref="H886:I886" si="887">DATE(MID(D886,7,4), MID(D886,4,2), LEFT(D886,2)) + TIMEVALUE(MID(D886,12,5))
</f>
        <v>46083.25</v>
      </c>
      <c r="I886" s="7">
        <f t="shared" si="887"/>
        <v>46085.20833</v>
      </c>
      <c r="J886" s="4">
        <f t="shared" si="3"/>
        <v>47</v>
      </c>
      <c r="K886" s="4" t="str">
        <f t="shared" si="4"/>
        <v>Within SLA</v>
      </c>
    </row>
    <row r="887">
      <c r="A887" s="1" t="s">
        <v>1604</v>
      </c>
      <c r="B887" s="1" t="s">
        <v>34</v>
      </c>
      <c r="C887" s="1" t="s">
        <v>35</v>
      </c>
      <c r="D887" s="5">
        <v>46358.958333333336</v>
      </c>
      <c r="E887" s="6" t="s">
        <v>478</v>
      </c>
      <c r="F887" s="6">
        <v>48.0</v>
      </c>
      <c r="G887" s="1" t="s">
        <v>14</v>
      </c>
      <c r="H887" s="7">
        <f t="shared" ref="H887:I887" si="888">DATE(MID(D887,7,4), MID(D887,4,2), LEFT(D887,2)) + TIMEVALUE(MID(D887,12,5))
</f>
        <v>46065.95833</v>
      </c>
      <c r="I887" s="7">
        <f t="shared" si="888"/>
        <v>46066.70833</v>
      </c>
      <c r="J887" s="4">
        <f t="shared" si="3"/>
        <v>18</v>
      </c>
      <c r="K887" s="4" t="str">
        <f t="shared" si="4"/>
        <v>Within SLA</v>
      </c>
    </row>
    <row r="888">
      <c r="A888" s="1" t="s">
        <v>1605</v>
      </c>
      <c r="B888" s="1" t="s">
        <v>16</v>
      </c>
      <c r="C888" s="1" t="s">
        <v>35</v>
      </c>
      <c r="D888" s="6" t="s">
        <v>1606</v>
      </c>
      <c r="E888" s="6" t="s">
        <v>657</v>
      </c>
      <c r="F888" s="6">
        <v>48.0</v>
      </c>
      <c r="G888" s="1" t="s">
        <v>14</v>
      </c>
      <c r="H888" s="7">
        <f t="shared" ref="H888:I888" si="889">DATE(MID(D888,7,4), MID(D888,4,2), LEFT(D888,2)) + TIMEVALUE(MID(D888,12,5))
</f>
        <v>46100.125</v>
      </c>
      <c r="I888" s="7">
        <f t="shared" si="889"/>
        <v>46102.29167</v>
      </c>
      <c r="J888" s="4">
        <f t="shared" si="3"/>
        <v>52</v>
      </c>
      <c r="K888" s="4" t="str">
        <f t="shared" si="4"/>
        <v>Breached</v>
      </c>
    </row>
    <row r="889">
      <c r="A889" s="1" t="s">
        <v>1607</v>
      </c>
      <c r="B889" s="1" t="s">
        <v>18</v>
      </c>
      <c r="C889" s="1" t="s">
        <v>12</v>
      </c>
      <c r="D889" s="6" t="s">
        <v>1608</v>
      </c>
      <c r="E889" s="6" t="s">
        <v>540</v>
      </c>
      <c r="F889" s="6">
        <v>72.0</v>
      </c>
      <c r="G889" s="1" t="s">
        <v>14</v>
      </c>
      <c r="H889" s="7">
        <f t="shared" ref="H889:I889" si="890">DATE(MID(D889,7,4), MID(D889,4,2), LEFT(D889,2)) + TIMEVALUE(MID(D889,12,5))
</f>
        <v>46040.54167</v>
      </c>
      <c r="I889" s="7">
        <f t="shared" si="890"/>
        <v>46043.66667</v>
      </c>
      <c r="J889" s="4">
        <f t="shared" si="3"/>
        <v>75</v>
      </c>
      <c r="K889" s="4" t="str">
        <f t="shared" si="4"/>
        <v>Breached</v>
      </c>
    </row>
    <row r="890">
      <c r="A890" s="1" t="s">
        <v>1609</v>
      </c>
      <c r="B890" s="1" t="s">
        <v>23</v>
      </c>
      <c r="C890" s="1" t="s">
        <v>35</v>
      </c>
      <c r="D890" s="6" t="s">
        <v>1610</v>
      </c>
      <c r="E890" s="5">
        <v>46024.583333333336</v>
      </c>
      <c r="F890" s="6">
        <v>48.0</v>
      </c>
      <c r="G890" s="1" t="s">
        <v>14</v>
      </c>
      <c r="H890" s="7">
        <f t="shared" ref="H890:I890" si="891">DATE(MID(D890,7,4), MID(D890,4,2), LEFT(D890,2)) + TIMEVALUE(MID(D890,12,5))
</f>
        <v>46051.95833</v>
      </c>
      <c r="I890" s="7">
        <f t="shared" si="891"/>
        <v>46054.58333</v>
      </c>
      <c r="J890" s="4">
        <f t="shared" si="3"/>
        <v>63</v>
      </c>
      <c r="K890" s="4" t="str">
        <f t="shared" si="4"/>
        <v>Breached</v>
      </c>
    </row>
    <row r="891">
      <c r="A891" s="1" t="s">
        <v>1611</v>
      </c>
      <c r="B891" s="1" t="s">
        <v>11</v>
      </c>
      <c r="C891" s="1" t="s">
        <v>19</v>
      </c>
      <c r="D891" s="6" t="s">
        <v>245</v>
      </c>
      <c r="E891" s="6" t="s">
        <v>703</v>
      </c>
      <c r="F891" s="6">
        <v>24.0</v>
      </c>
      <c r="G891" s="1" t="s">
        <v>14</v>
      </c>
      <c r="H891" s="7">
        <f t="shared" ref="H891:I891" si="892">DATE(MID(D891,7,4), MID(D891,4,2), LEFT(D891,2)) + TIMEVALUE(MID(D891,12,5))
</f>
        <v>46096.125</v>
      </c>
      <c r="I891" s="7">
        <f t="shared" si="892"/>
        <v>46098.33333</v>
      </c>
      <c r="J891" s="4">
        <f t="shared" si="3"/>
        <v>53</v>
      </c>
      <c r="K891" s="4" t="str">
        <f t="shared" si="4"/>
        <v>Breached</v>
      </c>
    </row>
    <row r="892">
      <c r="A892" s="1" t="s">
        <v>1612</v>
      </c>
      <c r="B892" s="1" t="s">
        <v>16</v>
      </c>
      <c r="C892" s="1" t="s">
        <v>19</v>
      </c>
      <c r="D892" s="6" t="s">
        <v>1613</v>
      </c>
      <c r="E892" s="6" t="s">
        <v>140</v>
      </c>
      <c r="F892" s="6">
        <v>24.0</v>
      </c>
      <c r="G892" s="1" t="s">
        <v>14</v>
      </c>
      <c r="H892" s="7">
        <f t="shared" ref="H892:I892" si="893">DATE(MID(D892,7,4), MID(D892,4,2), LEFT(D892,2)) + TIMEVALUE(MID(D892,12,5))
</f>
        <v>46072.91667</v>
      </c>
      <c r="I892" s="7">
        <f t="shared" si="893"/>
        <v>46074.33333</v>
      </c>
      <c r="J892" s="4">
        <f t="shared" si="3"/>
        <v>34</v>
      </c>
      <c r="K892" s="4" t="str">
        <f t="shared" si="4"/>
        <v>Breached</v>
      </c>
    </row>
    <row r="893">
      <c r="A893" s="1" t="s">
        <v>1614</v>
      </c>
      <c r="B893" s="1" t="s">
        <v>23</v>
      </c>
      <c r="C893" s="1" t="s">
        <v>19</v>
      </c>
      <c r="D893" s="5">
        <v>46296.333333333336</v>
      </c>
      <c r="E893" s="5">
        <v>46357.166666666664</v>
      </c>
      <c r="F893" s="6">
        <v>24.0</v>
      </c>
      <c r="G893" s="1" t="s">
        <v>14</v>
      </c>
      <c r="H893" s="7">
        <f t="shared" ref="H893:I893" si="894">DATE(MID(D893,7,4), MID(D893,4,2), LEFT(D893,2)) + TIMEVALUE(MID(D893,12,5))
</f>
        <v>46032.33333</v>
      </c>
      <c r="I893" s="7">
        <f t="shared" si="894"/>
        <v>46034.16667</v>
      </c>
      <c r="J893" s="4">
        <f t="shared" si="3"/>
        <v>44</v>
      </c>
      <c r="K893" s="4" t="str">
        <f t="shared" si="4"/>
        <v>Breached</v>
      </c>
    </row>
    <row r="894">
      <c r="A894" s="1" t="s">
        <v>1615</v>
      </c>
      <c r="B894" s="1" t="s">
        <v>23</v>
      </c>
      <c r="C894" s="1" t="s">
        <v>35</v>
      </c>
      <c r="D894" s="5">
        <v>46082.041666666664</v>
      </c>
      <c r="E894" s="5">
        <v>46082.875</v>
      </c>
      <c r="F894" s="6">
        <v>48.0</v>
      </c>
      <c r="G894" s="1" t="s">
        <v>14</v>
      </c>
      <c r="H894" s="7">
        <f t="shared" ref="H894:I894" si="895">DATE(MID(D894,7,4), MID(D894,4,2), LEFT(D894,2)) + TIMEVALUE(MID(D894,12,5))
</f>
        <v>46025.04167</v>
      </c>
      <c r="I894" s="7">
        <f t="shared" si="895"/>
        <v>46025.875</v>
      </c>
      <c r="J894" s="4">
        <f t="shared" si="3"/>
        <v>20</v>
      </c>
      <c r="K894" s="4" t="str">
        <f t="shared" si="4"/>
        <v>Within SLA</v>
      </c>
    </row>
    <row r="895">
      <c r="A895" s="1" t="s">
        <v>1616</v>
      </c>
      <c r="B895" s="1" t="s">
        <v>34</v>
      </c>
      <c r="C895" s="1" t="s">
        <v>12</v>
      </c>
      <c r="D895" s="5">
        <v>46204.916666666664</v>
      </c>
      <c r="E895" s="5">
        <v>46235.916666666664</v>
      </c>
      <c r="F895" s="6">
        <v>72.0</v>
      </c>
      <c r="G895" s="1" t="s">
        <v>14</v>
      </c>
      <c r="H895" s="7">
        <f t="shared" ref="H895:I895" si="896">DATE(MID(D895,7,4), MID(D895,4,2), LEFT(D895,2)) + TIMEVALUE(MID(D895,12,5))
</f>
        <v>46029.91667</v>
      </c>
      <c r="I895" s="7">
        <f t="shared" si="896"/>
        <v>46030.91667</v>
      </c>
      <c r="J895" s="4">
        <f t="shared" si="3"/>
        <v>24</v>
      </c>
      <c r="K895" s="4" t="str">
        <f t="shared" si="4"/>
        <v>Within SLA</v>
      </c>
    </row>
    <row r="896">
      <c r="A896" s="1" t="s">
        <v>1617</v>
      </c>
      <c r="B896" s="1" t="s">
        <v>16</v>
      </c>
      <c r="C896" s="1" t="s">
        <v>35</v>
      </c>
      <c r="D896" s="5">
        <v>46143.5</v>
      </c>
      <c r="E896" s="5">
        <v>46235.25</v>
      </c>
      <c r="F896" s="6">
        <v>48.0</v>
      </c>
      <c r="G896" s="1" t="s">
        <v>14</v>
      </c>
      <c r="H896" s="7">
        <f t="shared" ref="H896:I896" si="897">DATE(MID(D896,7,4), MID(D896,4,2), LEFT(D896,2)) + TIMEVALUE(MID(D896,12,5))
</f>
        <v>46027.5</v>
      </c>
      <c r="I896" s="7">
        <f t="shared" si="897"/>
        <v>46030.25</v>
      </c>
      <c r="J896" s="4">
        <f t="shared" si="3"/>
        <v>66</v>
      </c>
      <c r="K896" s="4" t="str">
        <f t="shared" si="4"/>
        <v>Breached</v>
      </c>
    </row>
    <row r="897">
      <c r="A897" s="1" t="s">
        <v>1618</v>
      </c>
      <c r="B897" s="1" t="s">
        <v>34</v>
      </c>
      <c r="C897" s="1" t="s">
        <v>12</v>
      </c>
      <c r="D897" s="6" t="s">
        <v>811</v>
      </c>
      <c r="E897" s="6" t="s">
        <v>525</v>
      </c>
      <c r="F897" s="6">
        <v>72.0</v>
      </c>
      <c r="G897" s="1" t="s">
        <v>14</v>
      </c>
      <c r="H897" s="7">
        <f t="shared" ref="H897:I897" si="898">DATE(MID(D897,7,4), MID(D897,4,2), LEFT(D897,2)) + TIMEVALUE(MID(D897,12,5))
</f>
        <v>46100.83333</v>
      </c>
      <c r="I897" s="7">
        <f t="shared" si="898"/>
        <v>46103.75</v>
      </c>
      <c r="J897" s="4">
        <f t="shared" si="3"/>
        <v>70</v>
      </c>
      <c r="K897" s="4" t="str">
        <f t="shared" si="4"/>
        <v>Within SLA</v>
      </c>
    </row>
    <row r="898">
      <c r="A898" s="1" t="s">
        <v>1619</v>
      </c>
      <c r="B898" s="1" t="s">
        <v>23</v>
      </c>
      <c r="C898" s="1" t="s">
        <v>35</v>
      </c>
      <c r="D898" s="6" t="s">
        <v>1620</v>
      </c>
      <c r="E898" s="6" t="s">
        <v>1621</v>
      </c>
      <c r="F898" s="6">
        <v>48.0</v>
      </c>
      <c r="G898" s="1" t="s">
        <v>14</v>
      </c>
      <c r="H898" s="7">
        <f t="shared" ref="H898:I898" si="899">DATE(MID(D898,7,4), MID(D898,4,2), LEFT(D898,2)) + TIMEVALUE(MID(D898,12,5))
</f>
        <v>46098.58333</v>
      </c>
      <c r="I898" s="7">
        <f t="shared" si="899"/>
        <v>46099.16667</v>
      </c>
      <c r="J898" s="4">
        <f t="shared" si="3"/>
        <v>14</v>
      </c>
      <c r="K898" s="4" t="str">
        <f t="shared" si="4"/>
        <v>Within SLA</v>
      </c>
    </row>
    <row r="899">
      <c r="A899" s="1" t="s">
        <v>1622</v>
      </c>
      <c r="B899" s="1" t="s">
        <v>18</v>
      </c>
      <c r="C899" s="1" t="s">
        <v>35</v>
      </c>
      <c r="D899" s="5">
        <v>46175.541666666664</v>
      </c>
      <c r="E899" s="5">
        <v>46205.666666666664</v>
      </c>
      <c r="F899" s="6">
        <v>48.0</v>
      </c>
      <c r="G899" s="1" t="s">
        <v>14</v>
      </c>
      <c r="H899" s="7">
        <f t="shared" ref="H899:I899" si="900">DATE(MID(D899,7,4), MID(D899,4,2), LEFT(D899,2)) + TIMEVALUE(MID(D899,12,5))
</f>
        <v>46059.54167</v>
      </c>
      <c r="I899" s="7">
        <f t="shared" si="900"/>
        <v>46060.66667</v>
      </c>
      <c r="J899" s="4">
        <f t="shared" si="3"/>
        <v>27</v>
      </c>
      <c r="K899" s="4" t="str">
        <f t="shared" si="4"/>
        <v>Within SLA</v>
      </c>
    </row>
    <row r="900">
      <c r="A900" s="1" t="s">
        <v>1623</v>
      </c>
      <c r="B900" s="1" t="s">
        <v>11</v>
      </c>
      <c r="C900" s="1" t="s">
        <v>19</v>
      </c>
      <c r="D900" s="5">
        <v>46236.666666666664</v>
      </c>
      <c r="E900" s="5">
        <v>46328.125</v>
      </c>
      <c r="F900" s="6">
        <v>24.0</v>
      </c>
      <c r="G900" s="1" t="s">
        <v>14</v>
      </c>
      <c r="H900" s="7">
        <f t="shared" ref="H900:I900" si="901">DATE(MID(D900,7,4), MID(D900,4,2), LEFT(D900,2)) + TIMEVALUE(MID(D900,12,5))
</f>
        <v>46061.66667</v>
      </c>
      <c r="I900" s="7">
        <f t="shared" si="901"/>
        <v>46064.125</v>
      </c>
      <c r="J900" s="4">
        <f t="shared" si="3"/>
        <v>59</v>
      </c>
      <c r="K900" s="4" t="str">
        <f t="shared" si="4"/>
        <v>Breached</v>
      </c>
    </row>
    <row r="901">
      <c r="A901" s="1" t="s">
        <v>1624</v>
      </c>
      <c r="B901" s="1" t="s">
        <v>16</v>
      </c>
      <c r="C901" s="1" t="s">
        <v>12</v>
      </c>
      <c r="D901" s="6" t="s">
        <v>344</v>
      </c>
      <c r="E901" s="6" t="s">
        <v>168</v>
      </c>
      <c r="F901" s="6">
        <v>72.0</v>
      </c>
      <c r="G901" s="1" t="s">
        <v>14</v>
      </c>
      <c r="H901" s="7">
        <f t="shared" ref="H901:I901" si="902">DATE(MID(D901,7,4), MID(D901,4,2), LEFT(D901,2)) + TIMEVALUE(MID(D901,12,5))
</f>
        <v>46046.29167</v>
      </c>
      <c r="I901" s="7">
        <f t="shared" si="902"/>
        <v>46049.58333</v>
      </c>
      <c r="J901" s="4">
        <f t="shared" si="3"/>
        <v>79</v>
      </c>
      <c r="K901" s="4" t="str">
        <f t="shared" si="4"/>
        <v>Breached</v>
      </c>
    </row>
    <row r="902">
      <c r="A902" s="1" t="s">
        <v>1625</v>
      </c>
      <c r="B902" s="1" t="s">
        <v>16</v>
      </c>
      <c r="C902" s="1" t="s">
        <v>19</v>
      </c>
      <c r="D902" s="6" t="s">
        <v>315</v>
      </c>
      <c r="E902" s="6" t="s">
        <v>1494</v>
      </c>
      <c r="F902" s="6">
        <v>24.0</v>
      </c>
      <c r="G902" s="1" t="s">
        <v>14</v>
      </c>
      <c r="H902" s="7">
        <f t="shared" ref="H902:I902" si="903">DATE(MID(D902,7,4), MID(D902,4,2), LEFT(D902,2)) + TIMEVALUE(MID(D902,12,5))
</f>
        <v>46040.79167</v>
      </c>
      <c r="I902" s="7">
        <f t="shared" si="903"/>
        <v>46042.625</v>
      </c>
      <c r="J902" s="4">
        <f t="shared" si="3"/>
        <v>44</v>
      </c>
      <c r="K902" s="4" t="str">
        <f t="shared" si="4"/>
        <v>Breached</v>
      </c>
    </row>
    <row r="903">
      <c r="A903" s="1" t="s">
        <v>1626</v>
      </c>
      <c r="B903" s="1" t="s">
        <v>16</v>
      </c>
      <c r="C903" s="1" t="s">
        <v>19</v>
      </c>
      <c r="D903" s="5">
        <v>46235.75</v>
      </c>
      <c r="E903" s="5">
        <v>46327.416666666664</v>
      </c>
      <c r="F903" s="6">
        <v>24.0</v>
      </c>
      <c r="G903" s="1" t="s">
        <v>14</v>
      </c>
      <c r="H903" s="7">
        <f t="shared" ref="H903:I903" si="904">DATE(MID(D903,7,4), MID(D903,4,2), LEFT(D903,2)) + TIMEVALUE(MID(D903,12,5))
</f>
        <v>46030.75</v>
      </c>
      <c r="I903" s="7">
        <f t="shared" si="904"/>
        <v>46033.41667</v>
      </c>
      <c r="J903" s="4">
        <f t="shared" si="3"/>
        <v>64</v>
      </c>
      <c r="K903" s="4" t="str">
        <f t="shared" si="4"/>
        <v>Breached</v>
      </c>
    </row>
    <row r="904">
      <c r="A904" s="1" t="s">
        <v>1627</v>
      </c>
      <c r="B904" s="1" t="s">
        <v>16</v>
      </c>
      <c r="C904" s="1" t="s">
        <v>35</v>
      </c>
      <c r="D904" s="6" t="s">
        <v>1628</v>
      </c>
      <c r="E904" s="6" t="s">
        <v>1557</v>
      </c>
      <c r="F904" s="6">
        <v>48.0</v>
      </c>
      <c r="G904" s="1" t="s">
        <v>14</v>
      </c>
      <c r="H904" s="7">
        <f t="shared" ref="H904:I904" si="905">DATE(MID(D904,7,4), MID(D904,4,2), LEFT(D904,2)) + TIMEVALUE(MID(D904,12,5))
</f>
        <v>46097.95833</v>
      </c>
      <c r="I904" s="7">
        <f t="shared" si="905"/>
        <v>46101.16667</v>
      </c>
      <c r="J904" s="4">
        <f t="shared" si="3"/>
        <v>77</v>
      </c>
      <c r="K904" s="4" t="str">
        <f t="shared" si="4"/>
        <v>Breached</v>
      </c>
    </row>
    <row r="905">
      <c r="A905" s="1" t="s">
        <v>1629</v>
      </c>
      <c r="B905" s="1" t="s">
        <v>18</v>
      </c>
      <c r="C905" s="1" t="s">
        <v>35</v>
      </c>
      <c r="D905" s="5">
        <v>46144.041666666664</v>
      </c>
      <c r="E905" s="5">
        <v>46236.041666666664</v>
      </c>
      <c r="F905" s="6">
        <v>48.0</v>
      </c>
      <c r="G905" s="1" t="s">
        <v>14</v>
      </c>
      <c r="H905" s="7">
        <f t="shared" ref="H905:I905" si="906">DATE(MID(D905,7,4), MID(D905,4,2), LEFT(D905,2)) + TIMEVALUE(MID(D905,12,5))
</f>
        <v>46058.04167</v>
      </c>
      <c r="I905" s="7">
        <f t="shared" si="906"/>
        <v>46061.04167</v>
      </c>
      <c r="J905" s="4">
        <f t="shared" si="3"/>
        <v>72</v>
      </c>
      <c r="K905" s="4" t="str">
        <f t="shared" si="4"/>
        <v>Breached</v>
      </c>
    </row>
    <row r="906">
      <c r="A906" s="1" t="s">
        <v>1630</v>
      </c>
      <c r="B906" s="1" t="s">
        <v>11</v>
      </c>
      <c r="C906" s="1" t="s">
        <v>12</v>
      </c>
      <c r="D906" s="6" t="s">
        <v>106</v>
      </c>
      <c r="E906" s="6" t="s">
        <v>1082</v>
      </c>
      <c r="F906" s="6">
        <v>72.0</v>
      </c>
      <c r="G906" s="1" t="s">
        <v>14</v>
      </c>
      <c r="H906" s="7">
        <f t="shared" ref="H906:I906" si="907">DATE(MID(D906,7,4), MID(D906,4,2), LEFT(D906,2)) + TIMEVALUE(MID(D906,12,5))
</f>
        <v>46102.33333</v>
      </c>
      <c r="I906" s="7">
        <f t="shared" si="907"/>
        <v>46105.20833</v>
      </c>
      <c r="J906" s="4">
        <f t="shared" si="3"/>
        <v>69</v>
      </c>
      <c r="K906" s="4" t="str">
        <f t="shared" si="4"/>
        <v>Within SLA</v>
      </c>
    </row>
    <row r="907">
      <c r="A907" s="1" t="s">
        <v>1631</v>
      </c>
      <c r="B907" s="1" t="s">
        <v>18</v>
      </c>
      <c r="C907" s="1" t="s">
        <v>19</v>
      </c>
      <c r="D907" s="5">
        <v>46144.583333333336</v>
      </c>
      <c r="E907" s="5">
        <v>46205.416666666664</v>
      </c>
      <c r="F907" s="6">
        <v>24.0</v>
      </c>
      <c r="G907" s="1" t="s">
        <v>14</v>
      </c>
      <c r="H907" s="7">
        <f t="shared" ref="H907:I907" si="908">DATE(MID(D907,7,4), MID(D907,4,2), LEFT(D907,2)) + TIMEVALUE(MID(D907,12,5))
</f>
        <v>46058.58333</v>
      </c>
      <c r="I907" s="7">
        <f t="shared" si="908"/>
        <v>46060.41667</v>
      </c>
      <c r="J907" s="4">
        <f t="shared" si="3"/>
        <v>44</v>
      </c>
      <c r="K907" s="4" t="str">
        <f t="shared" si="4"/>
        <v>Breached</v>
      </c>
    </row>
    <row r="908">
      <c r="A908" s="1" t="s">
        <v>1632</v>
      </c>
      <c r="B908" s="1" t="s">
        <v>18</v>
      </c>
      <c r="C908" s="1" t="s">
        <v>19</v>
      </c>
      <c r="D908" s="5">
        <v>46329.916666666664</v>
      </c>
      <c r="E908" s="6" t="s">
        <v>136</v>
      </c>
      <c r="F908" s="6">
        <v>24.0</v>
      </c>
      <c r="G908" s="1" t="s">
        <v>14</v>
      </c>
      <c r="H908" s="7">
        <f t="shared" ref="H908:I908" si="909">DATE(MID(D908,7,4), MID(D908,4,2), LEFT(D908,2)) + TIMEVALUE(MID(D908,12,5))
</f>
        <v>46092.91667</v>
      </c>
      <c r="I908" s="7">
        <f t="shared" si="909"/>
        <v>46095.54167</v>
      </c>
      <c r="J908" s="4">
        <f t="shared" si="3"/>
        <v>63</v>
      </c>
      <c r="K908" s="4" t="str">
        <f t="shared" si="4"/>
        <v>Breached</v>
      </c>
    </row>
    <row r="909">
      <c r="A909" s="1" t="s">
        <v>1633</v>
      </c>
      <c r="B909" s="1" t="s">
        <v>34</v>
      </c>
      <c r="C909" s="1" t="s">
        <v>35</v>
      </c>
      <c r="D909" s="5">
        <v>46266.208333333336</v>
      </c>
      <c r="E909" s="5">
        <v>46296.083333333336</v>
      </c>
      <c r="F909" s="6">
        <v>48.0</v>
      </c>
      <c r="G909" s="1" t="s">
        <v>14</v>
      </c>
      <c r="H909" s="7">
        <f t="shared" ref="H909:I909" si="910">DATE(MID(D909,7,4), MID(D909,4,2), LEFT(D909,2)) + TIMEVALUE(MID(D909,12,5))
</f>
        <v>46031.20833</v>
      </c>
      <c r="I909" s="7">
        <f t="shared" si="910"/>
        <v>46032.08333</v>
      </c>
      <c r="J909" s="4">
        <f t="shared" si="3"/>
        <v>21</v>
      </c>
      <c r="K909" s="4" t="str">
        <f t="shared" si="4"/>
        <v>Within SLA</v>
      </c>
    </row>
    <row r="910">
      <c r="A910" s="1" t="s">
        <v>1634</v>
      </c>
      <c r="B910" s="1" t="s">
        <v>34</v>
      </c>
      <c r="C910" s="1" t="s">
        <v>35</v>
      </c>
      <c r="D910" s="5">
        <v>46236.666666666664</v>
      </c>
      <c r="E910" s="5">
        <v>46267.708333333336</v>
      </c>
      <c r="F910" s="6">
        <v>48.0</v>
      </c>
      <c r="G910" s="1" t="s">
        <v>14</v>
      </c>
      <c r="H910" s="7">
        <f t="shared" ref="H910:I910" si="911">DATE(MID(D910,7,4), MID(D910,4,2), LEFT(D910,2)) + TIMEVALUE(MID(D910,12,5))
</f>
        <v>46061.66667</v>
      </c>
      <c r="I910" s="7">
        <f t="shared" si="911"/>
        <v>46062.70833</v>
      </c>
      <c r="J910" s="4">
        <f t="shared" si="3"/>
        <v>25</v>
      </c>
      <c r="K910" s="4" t="str">
        <f t="shared" si="4"/>
        <v>Within SLA</v>
      </c>
    </row>
    <row r="911">
      <c r="A911" s="1" t="s">
        <v>1635</v>
      </c>
      <c r="B911" s="1" t="s">
        <v>23</v>
      </c>
      <c r="C911" s="1" t="s">
        <v>12</v>
      </c>
      <c r="D911" s="5">
        <v>46055.0</v>
      </c>
      <c r="E911" s="5">
        <v>46144.875</v>
      </c>
      <c r="F911" s="6">
        <v>72.0</v>
      </c>
      <c r="G911" s="1" t="s">
        <v>14</v>
      </c>
      <c r="H911" s="7">
        <f t="shared" ref="H911:I911" si="912">DATE(MID(D911,7,4), MID(D911,4,2), LEFT(D911,2)) + TIMEVALUE(MID(D911,12,5))
</f>
        <v>46055</v>
      </c>
      <c r="I911" s="7">
        <f t="shared" si="912"/>
        <v>46058.875</v>
      </c>
      <c r="J911" s="4">
        <f t="shared" si="3"/>
        <v>93</v>
      </c>
      <c r="K911" s="4" t="str">
        <f t="shared" si="4"/>
        <v>Breached</v>
      </c>
    </row>
    <row r="912">
      <c r="A912" s="1" t="s">
        <v>1636</v>
      </c>
      <c r="B912" s="1" t="s">
        <v>23</v>
      </c>
      <c r="C912" s="1" t="s">
        <v>35</v>
      </c>
      <c r="D912" s="6" t="s">
        <v>1606</v>
      </c>
      <c r="E912" s="6" t="s">
        <v>1012</v>
      </c>
      <c r="F912" s="6">
        <v>48.0</v>
      </c>
      <c r="G912" s="1" t="s">
        <v>14</v>
      </c>
      <c r="H912" s="7">
        <f t="shared" ref="H912:I912" si="913">DATE(MID(D912,7,4), MID(D912,4,2), LEFT(D912,2)) + TIMEVALUE(MID(D912,12,5))
</f>
        <v>46100.125</v>
      </c>
      <c r="I912" s="7">
        <f t="shared" si="913"/>
        <v>46102.375</v>
      </c>
      <c r="J912" s="4">
        <f t="shared" si="3"/>
        <v>54</v>
      </c>
      <c r="K912" s="4" t="str">
        <f t="shared" si="4"/>
        <v>Breached</v>
      </c>
    </row>
    <row r="913">
      <c r="A913" s="1" t="s">
        <v>1637</v>
      </c>
      <c r="B913" s="1" t="s">
        <v>23</v>
      </c>
      <c r="C913" s="1" t="s">
        <v>12</v>
      </c>
      <c r="D913" s="6" t="s">
        <v>1638</v>
      </c>
      <c r="E913" s="6" t="s">
        <v>1639</v>
      </c>
      <c r="F913" s="6">
        <v>72.0</v>
      </c>
      <c r="G913" s="1" t="s">
        <v>14</v>
      </c>
      <c r="H913" s="7">
        <f t="shared" ref="H913:I913" si="914">DATE(MID(D913,7,4), MID(D913,4,2), LEFT(D913,2)) + TIMEVALUE(MID(D913,12,5))
</f>
        <v>46104.04167</v>
      </c>
      <c r="I913" s="7">
        <f t="shared" si="914"/>
        <v>46104.625</v>
      </c>
      <c r="J913" s="4">
        <f t="shared" si="3"/>
        <v>14</v>
      </c>
      <c r="K913" s="4" t="str">
        <f t="shared" si="4"/>
        <v>Within SLA</v>
      </c>
    </row>
    <row r="914">
      <c r="A914" s="1" t="s">
        <v>1640</v>
      </c>
      <c r="B914" s="1" t="s">
        <v>18</v>
      </c>
      <c r="C914" s="1" t="s">
        <v>12</v>
      </c>
      <c r="D914" s="6" t="s">
        <v>1042</v>
      </c>
      <c r="E914" s="6" t="s">
        <v>239</v>
      </c>
      <c r="F914" s="6">
        <v>72.0</v>
      </c>
      <c r="G914" s="1" t="s">
        <v>14</v>
      </c>
      <c r="H914" s="7">
        <f t="shared" ref="H914:I914" si="915">DATE(MID(D914,7,4), MID(D914,4,2), LEFT(D914,2)) + TIMEVALUE(MID(D914,12,5))
</f>
        <v>46047.33333</v>
      </c>
      <c r="I914" s="7">
        <f t="shared" si="915"/>
        <v>46050.91667</v>
      </c>
      <c r="J914" s="4">
        <f t="shared" si="3"/>
        <v>86</v>
      </c>
      <c r="K914" s="4" t="str">
        <f t="shared" si="4"/>
        <v>Breached</v>
      </c>
    </row>
    <row r="915">
      <c r="A915" s="1" t="s">
        <v>1641</v>
      </c>
      <c r="B915" s="1" t="s">
        <v>16</v>
      </c>
      <c r="C915" s="1" t="s">
        <v>12</v>
      </c>
      <c r="D915" s="6" t="s">
        <v>1642</v>
      </c>
      <c r="E915" s="6" t="s">
        <v>178</v>
      </c>
      <c r="F915" s="6">
        <v>72.0</v>
      </c>
      <c r="G915" s="1" t="s">
        <v>14</v>
      </c>
      <c r="H915" s="7">
        <f t="shared" ref="H915:I915" si="916">DATE(MID(D915,7,4), MID(D915,4,2), LEFT(D915,2)) + TIMEVALUE(MID(D915,12,5))
</f>
        <v>46043.70833</v>
      </c>
      <c r="I915" s="7">
        <f t="shared" si="916"/>
        <v>46047.625</v>
      </c>
      <c r="J915" s="4">
        <f t="shared" si="3"/>
        <v>94</v>
      </c>
      <c r="K915" s="4" t="str">
        <f t="shared" si="4"/>
        <v>Breached</v>
      </c>
    </row>
    <row r="916">
      <c r="A916" s="1" t="s">
        <v>1643</v>
      </c>
      <c r="B916" s="1" t="s">
        <v>34</v>
      </c>
      <c r="C916" s="1" t="s">
        <v>35</v>
      </c>
      <c r="D916" s="6" t="s">
        <v>348</v>
      </c>
      <c r="E916" s="6" t="s">
        <v>1644</v>
      </c>
      <c r="F916" s="6">
        <v>48.0</v>
      </c>
      <c r="G916" s="1" t="s">
        <v>14</v>
      </c>
      <c r="H916" s="7">
        <f t="shared" ref="H916:I916" si="917">DATE(MID(D916,7,4), MID(D916,4,2), LEFT(D916,2)) + TIMEVALUE(MID(D916,12,5))
</f>
        <v>46103.16667</v>
      </c>
      <c r="I916" s="7">
        <f t="shared" si="917"/>
        <v>46106.54167</v>
      </c>
      <c r="J916" s="4">
        <f t="shared" si="3"/>
        <v>81</v>
      </c>
      <c r="K916" s="4" t="str">
        <f t="shared" si="4"/>
        <v>Breached</v>
      </c>
    </row>
    <row r="917">
      <c r="A917" s="1" t="s">
        <v>1645</v>
      </c>
      <c r="B917" s="1" t="s">
        <v>34</v>
      </c>
      <c r="C917" s="1" t="s">
        <v>12</v>
      </c>
      <c r="D917" s="6" t="s">
        <v>962</v>
      </c>
      <c r="E917" s="6" t="s">
        <v>1646</v>
      </c>
      <c r="F917" s="6">
        <v>72.0</v>
      </c>
      <c r="G917" s="1" t="s">
        <v>14</v>
      </c>
      <c r="H917" s="7">
        <f t="shared" ref="H917:I917" si="918">DATE(MID(D917,7,4), MID(D917,4,2), LEFT(D917,2)) + TIMEVALUE(MID(D917,12,5))
</f>
        <v>46103</v>
      </c>
      <c r="I917" s="7">
        <f t="shared" si="918"/>
        <v>46104.875</v>
      </c>
      <c r="J917" s="4">
        <f t="shared" si="3"/>
        <v>45</v>
      </c>
      <c r="K917" s="4" t="str">
        <f t="shared" si="4"/>
        <v>Within SLA</v>
      </c>
    </row>
    <row r="918">
      <c r="A918" s="1" t="s">
        <v>1647</v>
      </c>
      <c r="B918" s="1" t="s">
        <v>18</v>
      </c>
      <c r="C918" s="1" t="s">
        <v>12</v>
      </c>
      <c r="D918" s="5">
        <v>46114.041666666664</v>
      </c>
      <c r="E918" s="5">
        <v>46144.666666666664</v>
      </c>
      <c r="F918" s="6">
        <v>72.0</v>
      </c>
      <c r="G918" s="1" t="s">
        <v>14</v>
      </c>
      <c r="H918" s="7">
        <f t="shared" ref="H918:I918" si="919">DATE(MID(D918,7,4), MID(D918,4,2), LEFT(D918,2)) + TIMEVALUE(MID(D918,12,5))
</f>
        <v>46057.04167</v>
      </c>
      <c r="I918" s="7">
        <f t="shared" si="919"/>
        <v>46058.66667</v>
      </c>
      <c r="J918" s="4">
        <f t="shared" si="3"/>
        <v>39</v>
      </c>
      <c r="K918" s="4" t="str">
        <f t="shared" si="4"/>
        <v>Within SLA</v>
      </c>
    </row>
    <row r="919">
      <c r="A919" s="1" t="s">
        <v>1648</v>
      </c>
      <c r="B919" s="1" t="s">
        <v>18</v>
      </c>
      <c r="C919" s="1" t="s">
        <v>12</v>
      </c>
      <c r="D919" s="6" t="s">
        <v>1649</v>
      </c>
      <c r="E919" s="5">
        <v>46084.458333333336</v>
      </c>
      <c r="F919" s="6">
        <v>72.0</v>
      </c>
      <c r="G919" s="1" t="s">
        <v>14</v>
      </c>
      <c r="H919" s="7">
        <f t="shared" ref="H919:I919" si="920">DATE(MID(D919,7,4), MID(D919,4,2), LEFT(D919,2)) + TIMEVALUE(MID(D919,12,5))
</f>
        <v>46081.45833</v>
      </c>
      <c r="I919" s="7">
        <f t="shared" si="920"/>
        <v>46084.45833</v>
      </c>
      <c r="J919" s="4">
        <f t="shared" si="3"/>
        <v>72</v>
      </c>
      <c r="K919" s="4" t="str">
        <f t="shared" si="4"/>
        <v>Within SLA</v>
      </c>
    </row>
    <row r="920">
      <c r="A920" s="1" t="s">
        <v>1650</v>
      </c>
      <c r="B920" s="1" t="s">
        <v>16</v>
      </c>
      <c r="C920" s="1" t="s">
        <v>12</v>
      </c>
      <c r="D920" s="6" t="s">
        <v>1651</v>
      </c>
      <c r="E920" s="6" t="s">
        <v>882</v>
      </c>
      <c r="F920" s="6">
        <v>72.0</v>
      </c>
      <c r="G920" s="1" t="s">
        <v>14</v>
      </c>
      <c r="H920" s="7">
        <f t="shared" ref="H920:I920" si="921">DATE(MID(D920,7,4), MID(D920,4,2), LEFT(D920,2)) + TIMEVALUE(MID(D920,12,5))
</f>
        <v>46069.29167</v>
      </c>
      <c r="I920" s="7">
        <f t="shared" si="921"/>
        <v>46069.95833</v>
      </c>
      <c r="J920" s="4">
        <f t="shared" si="3"/>
        <v>16</v>
      </c>
      <c r="K920" s="4" t="str">
        <f t="shared" si="4"/>
        <v>Within SLA</v>
      </c>
    </row>
    <row r="921">
      <c r="A921" s="1" t="s">
        <v>1652</v>
      </c>
      <c r="B921" s="1" t="s">
        <v>34</v>
      </c>
      <c r="C921" s="1" t="s">
        <v>12</v>
      </c>
      <c r="D921" s="5">
        <v>46144.291666666664</v>
      </c>
      <c r="E921" s="5">
        <v>46144.791666666664</v>
      </c>
      <c r="F921" s="6">
        <v>72.0</v>
      </c>
      <c r="G921" s="1" t="s">
        <v>14</v>
      </c>
      <c r="H921" s="7">
        <f t="shared" ref="H921:I921" si="922">DATE(MID(D921,7,4), MID(D921,4,2), LEFT(D921,2)) + TIMEVALUE(MID(D921,12,5))
</f>
        <v>46058.29167</v>
      </c>
      <c r="I921" s="7">
        <f t="shared" si="922"/>
        <v>46058.79167</v>
      </c>
      <c r="J921" s="4">
        <f t="shared" si="3"/>
        <v>12</v>
      </c>
      <c r="K921" s="4" t="str">
        <f t="shared" si="4"/>
        <v>Within SLA</v>
      </c>
    </row>
    <row r="922">
      <c r="A922" s="1" t="s">
        <v>1653</v>
      </c>
      <c r="B922" s="1" t="s">
        <v>18</v>
      </c>
      <c r="C922" s="1" t="s">
        <v>35</v>
      </c>
      <c r="D922" s="5">
        <v>46145.375</v>
      </c>
      <c r="E922" s="5">
        <v>46206.583333333336</v>
      </c>
      <c r="F922" s="6">
        <v>48.0</v>
      </c>
      <c r="G922" s="1" t="s">
        <v>14</v>
      </c>
      <c r="H922" s="7">
        <f t="shared" ref="H922:I922" si="923">DATE(MID(D922,7,4), MID(D922,4,2), LEFT(D922,2)) + TIMEVALUE(MID(D922,12,5))
</f>
        <v>46086.375</v>
      </c>
      <c r="I922" s="7">
        <f t="shared" si="923"/>
        <v>46088.58333</v>
      </c>
      <c r="J922" s="4">
        <f t="shared" si="3"/>
        <v>53</v>
      </c>
      <c r="K922" s="4" t="str">
        <f t="shared" si="4"/>
        <v>Breached</v>
      </c>
    </row>
    <row r="923">
      <c r="A923" s="1" t="s">
        <v>1654</v>
      </c>
      <c r="B923" s="1" t="s">
        <v>16</v>
      </c>
      <c r="C923" s="1" t="s">
        <v>12</v>
      </c>
      <c r="D923" s="6" t="s">
        <v>58</v>
      </c>
      <c r="E923" s="6" t="s">
        <v>1655</v>
      </c>
      <c r="F923" s="6">
        <v>72.0</v>
      </c>
      <c r="G923" s="1" t="s">
        <v>14</v>
      </c>
      <c r="H923" s="7">
        <f t="shared" ref="H923:I923" si="924">DATE(MID(D923,7,4), MID(D923,4,2), LEFT(D923,2)) + TIMEVALUE(MID(D923,12,5))
</f>
        <v>46045.875</v>
      </c>
      <c r="I923" s="7">
        <f t="shared" si="924"/>
        <v>46048.79167</v>
      </c>
      <c r="J923" s="4">
        <f t="shared" si="3"/>
        <v>70</v>
      </c>
      <c r="K923" s="4" t="str">
        <f t="shared" si="4"/>
        <v>Within SLA</v>
      </c>
    </row>
    <row r="924">
      <c r="A924" s="1" t="s">
        <v>1656</v>
      </c>
      <c r="B924" s="1" t="s">
        <v>11</v>
      </c>
      <c r="C924" s="1" t="s">
        <v>12</v>
      </c>
      <c r="D924" s="6" t="s">
        <v>1657</v>
      </c>
      <c r="E924" s="6" t="s">
        <v>1658</v>
      </c>
      <c r="F924" s="6">
        <v>72.0</v>
      </c>
      <c r="G924" s="1" t="s">
        <v>14</v>
      </c>
      <c r="H924" s="7">
        <f t="shared" ref="H924:I924" si="925">DATE(MID(D924,7,4), MID(D924,4,2), LEFT(D924,2)) + TIMEVALUE(MID(D924,12,5))
</f>
        <v>46036.54167</v>
      </c>
      <c r="I924" s="7">
        <f t="shared" si="925"/>
        <v>46037.54167</v>
      </c>
      <c r="J924" s="4">
        <f t="shared" si="3"/>
        <v>24</v>
      </c>
      <c r="K924" s="4" t="str">
        <f t="shared" si="4"/>
        <v>Within SLA</v>
      </c>
    </row>
    <row r="925">
      <c r="A925" s="1" t="s">
        <v>1659</v>
      </c>
      <c r="B925" s="1" t="s">
        <v>18</v>
      </c>
      <c r="C925" s="1" t="s">
        <v>19</v>
      </c>
      <c r="D925" s="5">
        <v>46359.833333333336</v>
      </c>
      <c r="E925" s="6" t="s">
        <v>1660</v>
      </c>
      <c r="F925" s="6">
        <v>24.0</v>
      </c>
      <c r="G925" s="1" t="s">
        <v>14</v>
      </c>
      <c r="H925" s="7">
        <f t="shared" ref="H925:I925" si="926">DATE(MID(D925,7,4), MID(D925,4,2), LEFT(D925,2)) + TIMEVALUE(MID(D925,12,5))
</f>
        <v>46093.83333</v>
      </c>
      <c r="I925" s="7">
        <f t="shared" si="926"/>
        <v>46096.58333</v>
      </c>
      <c r="J925" s="4">
        <f t="shared" si="3"/>
        <v>66</v>
      </c>
      <c r="K925" s="4" t="str">
        <f t="shared" si="4"/>
        <v>Breached</v>
      </c>
    </row>
    <row r="926">
      <c r="A926" s="1" t="s">
        <v>1661</v>
      </c>
      <c r="B926" s="1" t="s">
        <v>23</v>
      </c>
      <c r="C926" s="1" t="s">
        <v>12</v>
      </c>
      <c r="D926" s="6" t="s">
        <v>1062</v>
      </c>
      <c r="E926" s="6" t="s">
        <v>1205</v>
      </c>
      <c r="F926" s="6">
        <v>72.0</v>
      </c>
      <c r="G926" s="1" t="s">
        <v>14</v>
      </c>
      <c r="H926" s="7">
        <f t="shared" ref="H926:I926" si="927">DATE(MID(D926,7,4), MID(D926,4,2), LEFT(D926,2)) + TIMEVALUE(MID(D926,12,5))
</f>
        <v>46066.25</v>
      </c>
      <c r="I926" s="7">
        <f t="shared" si="927"/>
        <v>46066.95833</v>
      </c>
      <c r="J926" s="4">
        <f t="shared" si="3"/>
        <v>17</v>
      </c>
      <c r="K926" s="4" t="str">
        <f t="shared" si="4"/>
        <v>Within SLA</v>
      </c>
    </row>
    <row r="927">
      <c r="A927" s="1" t="s">
        <v>1662</v>
      </c>
      <c r="B927" s="1" t="s">
        <v>34</v>
      </c>
      <c r="C927" s="1" t="s">
        <v>19</v>
      </c>
      <c r="D927" s="5">
        <v>46297.875</v>
      </c>
      <c r="E927" s="6" t="s">
        <v>478</v>
      </c>
      <c r="F927" s="6">
        <v>24.0</v>
      </c>
      <c r="G927" s="1" t="s">
        <v>14</v>
      </c>
      <c r="H927" s="7">
        <f t="shared" ref="H927:I927" si="928">DATE(MID(D927,7,4), MID(D927,4,2), LEFT(D927,2)) + TIMEVALUE(MID(D927,12,5))
</f>
        <v>46063.875</v>
      </c>
      <c r="I927" s="7">
        <f t="shared" si="928"/>
        <v>46066.70833</v>
      </c>
      <c r="J927" s="4">
        <f t="shared" si="3"/>
        <v>68</v>
      </c>
      <c r="K927" s="4" t="str">
        <f t="shared" si="4"/>
        <v>Breached</v>
      </c>
    </row>
    <row r="928">
      <c r="A928" s="1" t="s">
        <v>1663</v>
      </c>
      <c r="B928" s="1" t="s">
        <v>11</v>
      </c>
      <c r="C928" s="1" t="s">
        <v>12</v>
      </c>
      <c r="D928" s="5">
        <v>46024.375</v>
      </c>
      <c r="E928" s="5">
        <v>46083.166666666664</v>
      </c>
      <c r="F928" s="6">
        <v>72.0</v>
      </c>
      <c r="G928" s="1" t="s">
        <v>14</v>
      </c>
      <c r="H928" s="7">
        <f t="shared" ref="H928:I928" si="929">DATE(MID(D928,7,4), MID(D928,4,2), LEFT(D928,2)) + TIMEVALUE(MID(D928,12,5))
</f>
        <v>46054.375</v>
      </c>
      <c r="I928" s="7">
        <f t="shared" si="929"/>
        <v>46056.16667</v>
      </c>
      <c r="J928" s="4">
        <f t="shared" si="3"/>
        <v>43</v>
      </c>
      <c r="K928" s="4" t="str">
        <f t="shared" si="4"/>
        <v>Within SLA</v>
      </c>
    </row>
    <row r="929">
      <c r="A929" s="1" t="s">
        <v>1664</v>
      </c>
      <c r="B929" s="1" t="s">
        <v>18</v>
      </c>
      <c r="C929" s="1" t="s">
        <v>35</v>
      </c>
      <c r="D929" s="5">
        <v>46298.875</v>
      </c>
      <c r="E929" s="6" t="s">
        <v>876</v>
      </c>
      <c r="F929" s="6">
        <v>48.0</v>
      </c>
      <c r="G929" s="1" t="s">
        <v>14</v>
      </c>
      <c r="H929" s="7">
        <f t="shared" ref="H929:I929" si="930">DATE(MID(D929,7,4), MID(D929,4,2), LEFT(D929,2)) + TIMEVALUE(MID(D929,12,5))
</f>
        <v>46091.875</v>
      </c>
      <c r="I929" s="7">
        <f t="shared" si="930"/>
        <v>46095.75</v>
      </c>
      <c r="J929" s="4">
        <f t="shared" si="3"/>
        <v>93</v>
      </c>
      <c r="K929" s="4" t="str">
        <f t="shared" si="4"/>
        <v>Breached</v>
      </c>
    </row>
    <row r="930">
      <c r="A930" s="1" t="s">
        <v>1665</v>
      </c>
      <c r="B930" s="1" t="s">
        <v>11</v>
      </c>
      <c r="C930" s="1" t="s">
        <v>12</v>
      </c>
      <c r="D930" s="5">
        <v>46114.375</v>
      </c>
      <c r="E930" s="5">
        <v>46144.958333333336</v>
      </c>
      <c r="F930" s="6">
        <v>72.0</v>
      </c>
      <c r="G930" s="1" t="s">
        <v>14</v>
      </c>
      <c r="H930" s="7">
        <f t="shared" ref="H930:I930" si="931">DATE(MID(D930,7,4), MID(D930,4,2), LEFT(D930,2)) + TIMEVALUE(MID(D930,12,5))
</f>
        <v>46057.375</v>
      </c>
      <c r="I930" s="7">
        <f t="shared" si="931"/>
        <v>46058.95833</v>
      </c>
      <c r="J930" s="4">
        <f t="shared" si="3"/>
        <v>38</v>
      </c>
      <c r="K930" s="4" t="str">
        <f t="shared" si="4"/>
        <v>Within SLA</v>
      </c>
    </row>
    <row r="931">
      <c r="A931" s="1" t="s">
        <v>1666</v>
      </c>
      <c r="B931" s="1" t="s">
        <v>34</v>
      </c>
      <c r="C931" s="1" t="s">
        <v>12</v>
      </c>
      <c r="D931" s="6" t="s">
        <v>1667</v>
      </c>
      <c r="E931" s="6" t="s">
        <v>1093</v>
      </c>
      <c r="F931" s="6">
        <v>72.0</v>
      </c>
      <c r="G931" s="1" t="s">
        <v>14</v>
      </c>
      <c r="H931" s="7">
        <f t="shared" ref="H931:I931" si="932">DATE(MID(D931,7,4), MID(D931,4,2), LEFT(D931,2)) + TIMEVALUE(MID(D931,12,5))
</f>
        <v>46045.20833</v>
      </c>
      <c r="I931" s="7">
        <f t="shared" si="932"/>
        <v>46047.375</v>
      </c>
      <c r="J931" s="4">
        <f t="shared" si="3"/>
        <v>52</v>
      </c>
      <c r="K931" s="4" t="str">
        <f t="shared" si="4"/>
        <v>Within SLA</v>
      </c>
    </row>
    <row r="932">
      <c r="A932" s="1" t="s">
        <v>1668</v>
      </c>
      <c r="B932" s="1" t="s">
        <v>23</v>
      </c>
      <c r="C932" s="1" t="s">
        <v>12</v>
      </c>
      <c r="D932" s="6" t="s">
        <v>128</v>
      </c>
      <c r="E932" s="6" t="s">
        <v>1058</v>
      </c>
      <c r="F932" s="6">
        <v>72.0</v>
      </c>
      <c r="G932" s="1" t="s">
        <v>14</v>
      </c>
      <c r="H932" s="7">
        <f t="shared" ref="H932:I932" si="933">DATE(MID(D932,7,4), MID(D932,4,2), LEFT(D932,2)) + TIMEVALUE(MID(D932,12,5))
</f>
        <v>46067.25</v>
      </c>
      <c r="I932" s="7">
        <f t="shared" si="933"/>
        <v>46068.08333</v>
      </c>
      <c r="J932" s="4">
        <f t="shared" si="3"/>
        <v>20</v>
      </c>
      <c r="K932" s="4" t="str">
        <f t="shared" si="4"/>
        <v>Within SLA</v>
      </c>
    </row>
    <row r="933">
      <c r="A933" s="1" t="s">
        <v>1669</v>
      </c>
      <c r="B933" s="1" t="s">
        <v>18</v>
      </c>
      <c r="C933" s="1" t="s">
        <v>35</v>
      </c>
      <c r="D933" s="6" t="s">
        <v>771</v>
      </c>
      <c r="E933" s="6" t="s">
        <v>208</v>
      </c>
      <c r="F933" s="6">
        <v>48.0</v>
      </c>
      <c r="G933" s="1" t="s">
        <v>14</v>
      </c>
      <c r="H933" s="7">
        <f t="shared" ref="H933:I933" si="934">DATE(MID(D933,7,4), MID(D933,4,2), LEFT(D933,2)) + TIMEVALUE(MID(D933,12,5))
</f>
        <v>46038.20833</v>
      </c>
      <c r="I933" s="7">
        <f t="shared" si="934"/>
        <v>46041.66667</v>
      </c>
      <c r="J933" s="4">
        <f t="shared" si="3"/>
        <v>83</v>
      </c>
      <c r="K933" s="4" t="str">
        <f t="shared" si="4"/>
        <v>Breached</v>
      </c>
    </row>
    <row r="934">
      <c r="A934" s="1" t="s">
        <v>1670</v>
      </c>
      <c r="B934" s="1" t="s">
        <v>16</v>
      </c>
      <c r="C934" s="1" t="s">
        <v>12</v>
      </c>
      <c r="D934" s="5">
        <v>46329.375</v>
      </c>
      <c r="E934" s="5">
        <v>46359.583333333336</v>
      </c>
      <c r="F934" s="6">
        <v>72.0</v>
      </c>
      <c r="G934" s="1" t="s">
        <v>14</v>
      </c>
      <c r="H934" s="7">
        <f t="shared" ref="H934:I934" si="935">DATE(MID(D934,7,4), MID(D934,4,2), LEFT(D934,2)) + TIMEVALUE(MID(D934,12,5))
</f>
        <v>46092.375</v>
      </c>
      <c r="I934" s="7">
        <f t="shared" si="935"/>
        <v>46093.58333</v>
      </c>
      <c r="J934" s="4">
        <f t="shared" si="3"/>
        <v>29</v>
      </c>
      <c r="K934" s="4" t="str">
        <f t="shared" si="4"/>
        <v>Within SLA</v>
      </c>
    </row>
    <row r="935">
      <c r="A935" s="1" t="s">
        <v>1671</v>
      </c>
      <c r="B935" s="1" t="s">
        <v>16</v>
      </c>
      <c r="C935" s="1" t="s">
        <v>35</v>
      </c>
      <c r="D935" s="6" t="s">
        <v>213</v>
      </c>
      <c r="E935" s="6" t="s">
        <v>951</v>
      </c>
      <c r="F935" s="6">
        <v>48.0</v>
      </c>
      <c r="G935" s="1" t="s">
        <v>14</v>
      </c>
      <c r="H935" s="7">
        <f t="shared" ref="H935:I935" si="936">DATE(MID(D935,7,4), MID(D935,4,2), LEFT(D935,2)) + TIMEVALUE(MID(D935,12,5))
</f>
        <v>46038.79167</v>
      </c>
      <c r="I935" s="7">
        <f t="shared" si="936"/>
        <v>46039.45833</v>
      </c>
      <c r="J935" s="4">
        <f t="shared" si="3"/>
        <v>16</v>
      </c>
      <c r="K935" s="4" t="str">
        <f t="shared" si="4"/>
        <v>Within SLA</v>
      </c>
    </row>
    <row r="936">
      <c r="A936" s="1" t="s">
        <v>1672</v>
      </c>
      <c r="B936" s="1" t="s">
        <v>18</v>
      </c>
      <c r="C936" s="1" t="s">
        <v>12</v>
      </c>
      <c r="D936" s="6" t="s">
        <v>664</v>
      </c>
      <c r="E936" s="6" t="s">
        <v>1673</v>
      </c>
      <c r="F936" s="6">
        <v>72.0</v>
      </c>
      <c r="G936" s="1" t="s">
        <v>14</v>
      </c>
      <c r="H936" s="7">
        <f t="shared" ref="H936:I936" si="937">DATE(MID(D936,7,4), MID(D936,4,2), LEFT(D936,2)) + TIMEVALUE(MID(D936,12,5))
</f>
        <v>46079.58333</v>
      </c>
      <c r="I936" s="7">
        <f t="shared" si="937"/>
        <v>46080.625</v>
      </c>
      <c r="J936" s="4">
        <f t="shared" si="3"/>
        <v>25</v>
      </c>
      <c r="K936" s="4" t="str">
        <f t="shared" si="4"/>
        <v>Within SLA</v>
      </c>
    </row>
    <row r="937">
      <c r="A937" s="1" t="s">
        <v>1674</v>
      </c>
      <c r="B937" s="1" t="s">
        <v>11</v>
      </c>
      <c r="C937" s="1" t="s">
        <v>19</v>
      </c>
      <c r="D937" s="6" t="s">
        <v>115</v>
      </c>
      <c r="E937" s="6" t="s">
        <v>1675</v>
      </c>
      <c r="F937" s="6">
        <v>24.0</v>
      </c>
      <c r="G937" s="1" t="s">
        <v>14</v>
      </c>
      <c r="H937" s="7">
        <f t="shared" ref="H937:I937" si="938">DATE(MID(D937,7,4), MID(D937,4,2), LEFT(D937,2)) + TIMEVALUE(MID(D937,12,5))
</f>
        <v>46075.875</v>
      </c>
      <c r="I937" s="7">
        <f t="shared" si="938"/>
        <v>46078.95833</v>
      </c>
      <c r="J937" s="4">
        <f t="shared" si="3"/>
        <v>74</v>
      </c>
      <c r="K937" s="4" t="str">
        <f t="shared" si="4"/>
        <v>Breached</v>
      </c>
    </row>
    <row r="938">
      <c r="A938" s="1" t="s">
        <v>1676</v>
      </c>
      <c r="B938" s="1" t="s">
        <v>18</v>
      </c>
      <c r="C938" s="1" t="s">
        <v>35</v>
      </c>
      <c r="D938" s="6" t="s">
        <v>1677</v>
      </c>
      <c r="E938" s="6" t="s">
        <v>50</v>
      </c>
      <c r="F938" s="6">
        <v>48.0</v>
      </c>
      <c r="G938" s="1" t="s">
        <v>14</v>
      </c>
      <c r="H938" s="7">
        <f t="shared" ref="H938:I938" si="939">DATE(MID(D938,7,4), MID(D938,4,2), LEFT(D938,2)) + TIMEVALUE(MID(D938,12,5))
</f>
        <v>46049.70833</v>
      </c>
      <c r="I938" s="7">
        <f t="shared" si="939"/>
        <v>46052.625</v>
      </c>
      <c r="J938" s="4">
        <f t="shared" si="3"/>
        <v>70</v>
      </c>
      <c r="K938" s="4" t="str">
        <f t="shared" si="4"/>
        <v>Breached</v>
      </c>
    </row>
    <row r="939">
      <c r="A939" s="1" t="s">
        <v>1678</v>
      </c>
      <c r="B939" s="1" t="s">
        <v>23</v>
      </c>
      <c r="C939" s="1" t="s">
        <v>12</v>
      </c>
      <c r="D939" s="5">
        <v>46357.458333333336</v>
      </c>
      <c r="E939" s="6" t="s">
        <v>1679</v>
      </c>
      <c r="F939" s="6">
        <v>72.0</v>
      </c>
      <c r="G939" s="1" t="s">
        <v>14</v>
      </c>
      <c r="H939" s="7">
        <f t="shared" ref="H939:I939" si="940">DATE(MID(D939,7,4), MID(D939,4,2), LEFT(D939,2)) + TIMEVALUE(MID(D939,12,5))
</f>
        <v>46034.45833</v>
      </c>
      <c r="I939" s="7">
        <f t="shared" si="940"/>
        <v>46037.08333</v>
      </c>
      <c r="J939" s="4">
        <f t="shared" si="3"/>
        <v>63</v>
      </c>
      <c r="K939" s="4" t="str">
        <f t="shared" si="4"/>
        <v>Within SLA</v>
      </c>
    </row>
    <row r="940">
      <c r="A940" s="1" t="s">
        <v>1680</v>
      </c>
      <c r="B940" s="1" t="s">
        <v>18</v>
      </c>
      <c r="C940" s="1" t="s">
        <v>19</v>
      </c>
      <c r="D940" s="6" t="s">
        <v>1681</v>
      </c>
      <c r="E940" s="6" t="s">
        <v>1075</v>
      </c>
      <c r="F940" s="6">
        <v>24.0</v>
      </c>
      <c r="G940" s="1" t="s">
        <v>14</v>
      </c>
      <c r="H940" s="7">
        <f t="shared" ref="H940:I940" si="941">DATE(MID(D940,7,4), MID(D940,4,2), LEFT(D940,2)) + TIMEVALUE(MID(D940,12,5))
</f>
        <v>46038.375</v>
      </c>
      <c r="I940" s="7">
        <f t="shared" si="941"/>
        <v>46042.33333</v>
      </c>
      <c r="J940" s="4">
        <f t="shared" si="3"/>
        <v>95</v>
      </c>
      <c r="K940" s="4" t="str">
        <f t="shared" si="4"/>
        <v>Breached</v>
      </c>
    </row>
    <row r="941">
      <c r="A941" s="1" t="s">
        <v>1682</v>
      </c>
      <c r="B941" s="1" t="s">
        <v>11</v>
      </c>
      <c r="C941" s="1" t="s">
        <v>35</v>
      </c>
      <c r="D941" s="5">
        <v>46298.875</v>
      </c>
      <c r="E941" s="6" t="s">
        <v>1683</v>
      </c>
      <c r="F941" s="6">
        <v>48.0</v>
      </c>
      <c r="G941" s="1" t="s">
        <v>14</v>
      </c>
      <c r="H941" s="7">
        <f t="shared" ref="H941:I941" si="942">DATE(MID(D941,7,4), MID(D941,4,2), LEFT(D941,2)) + TIMEVALUE(MID(D941,12,5))
</f>
        <v>46091.875</v>
      </c>
      <c r="I941" s="7">
        <f t="shared" si="942"/>
        <v>46094.29167</v>
      </c>
      <c r="J941" s="4">
        <f t="shared" si="3"/>
        <v>58</v>
      </c>
      <c r="K941" s="4" t="str">
        <f t="shared" si="4"/>
        <v>Breached</v>
      </c>
    </row>
    <row r="942">
      <c r="A942" s="1" t="s">
        <v>1684</v>
      </c>
      <c r="B942" s="1" t="s">
        <v>23</v>
      </c>
      <c r="C942" s="1" t="s">
        <v>19</v>
      </c>
      <c r="D942" s="5">
        <v>46329.208333333336</v>
      </c>
      <c r="E942" s="6" t="s">
        <v>1310</v>
      </c>
      <c r="F942" s="6">
        <v>24.0</v>
      </c>
      <c r="G942" s="1" t="s">
        <v>14</v>
      </c>
      <c r="H942" s="7">
        <f t="shared" ref="H942:I942" si="943">DATE(MID(D942,7,4), MID(D942,4,2), LEFT(D942,2)) + TIMEVALUE(MID(D942,12,5))
</f>
        <v>46092.20833</v>
      </c>
      <c r="I942" s="7">
        <f t="shared" si="943"/>
        <v>46095.5</v>
      </c>
      <c r="J942" s="4">
        <f t="shared" si="3"/>
        <v>79</v>
      </c>
      <c r="K942" s="4" t="str">
        <f t="shared" si="4"/>
        <v>Breached</v>
      </c>
    </row>
    <row r="943">
      <c r="A943" s="1" t="s">
        <v>1685</v>
      </c>
      <c r="B943" s="1" t="s">
        <v>16</v>
      </c>
      <c r="C943" s="1" t="s">
        <v>35</v>
      </c>
      <c r="D943" s="6" t="s">
        <v>1366</v>
      </c>
      <c r="E943" s="6" t="s">
        <v>1686</v>
      </c>
      <c r="F943" s="6">
        <v>48.0</v>
      </c>
      <c r="G943" s="1" t="s">
        <v>14</v>
      </c>
      <c r="H943" s="7">
        <f t="shared" ref="H943:I943" si="944">DATE(MID(D943,7,4), MID(D943,4,2), LEFT(D943,2)) + TIMEVALUE(MID(D943,12,5))
</f>
        <v>46098.29167</v>
      </c>
      <c r="I943" s="7">
        <f t="shared" si="944"/>
        <v>46102.08333</v>
      </c>
      <c r="J943" s="4">
        <f t="shared" si="3"/>
        <v>91</v>
      </c>
      <c r="K943" s="4" t="str">
        <f t="shared" si="4"/>
        <v>Breached</v>
      </c>
    </row>
    <row r="944">
      <c r="A944" s="1" t="s">
        <v>1687</v>
      </c>
      <c r="B944" s="1" t="s">
        <v>23</v>
      </c>
      <c r="C944" s="1" t="s">
        <v>35</v>
      </c>
      <c r="D944" s="6" t="s">
        <v>1688</v>
      </c>
      <c r="E944" s="6" t="s">
        <v>1269</v>
      </c>
      <c r="F944" s="6">
        <v>48.0</v>
      </c>
      <c r="G944" s="1" t="s">
        <v>14</v>
      </c>
      <c r="H944" s="7">
        <f t="shared" ref="H944:I944" si="945">DATE(MID(D944,7,4), MID(D944,4,2), LEFT(D944,2)) + TIMEVALUE(MID(D944,12,5))
</f>
        <v>46096.16667</v>
      </c>
      <c r="I944" s="7">
        <f t="shared" si="945"/>
        <v>46099.70833</v>
      </c>
      <c r="J944" s="4">
        <f t="shared" si="3"/>
        <v>85</v>
      </c>
      <c r="K944" s="4" t="str">
        <f t="shared" si="4"/>
        <v>Breached</v>
      </c>
    </row>
    <row r="945">
      <c r="A945" s="1" t="s">
        <v>1689</v>
      </c>
      <c r="B945" s="1" t="s">
        <v>16</v>
      </c>
      <c r="C945" s="1" t="s">
        <v>19</v>
      </c>
      <c r="D945" s="6" t="s">
        <v>535</v>
      </c>
      <c r="E945" s="6" t="s">
        <v>1690</v>
      </c>
      <c r="F945" s="6">
        <v>24.0</v>
      </c>
      <c r="G945" s="1" t="s">
        <v>14</v>
      </c>
      <c r="H945" s="7">
        <f t="shared" ref="H945:I945" si="946">DATE(MID(D945,7,4), MID(D945,4,2), LEFT(D945,2)) + TIMEVALUE(MID(D945,12,5))
</f>
        <v>46037.125</v>
      </c>
      <c r="I945" s="7">
        <f t="shared" si="946"/>
        <v>46037.70833</v>
      </c>
      <c r="J945" s="4">
        <f t="shared" si="3"/>
        <v>14</v>
      </c>
      <c r="K945" s="4" t="str">
        <f t="shared" si="4"/>
        <v>Within SLA</v>
      </c>
    </row>
    <row r="946">
      <c r="A946" s="1" t="s">
        <v>1691</v>
      </c>
      <c r="B946" s="1" t="s">
        <v>11</v>
      </c>
      <c r="C946" s="1" t="s">
        <v>12</v>
      </c>
      <c r="D946" s="6" t="s">
        <v>1515</v>
      </c>
      <c r="E946" s="6" t="s">
        <v>549</v>
      </c>
      <c r="F946" s="6">
        <v>72.0</v>
      </c>
      <c r="G946" s="1" t="s">
        <v>14</v>
      </c>
      <c r="H946" s="7">
        <f t="shared" ref="H946:I946" si="947">DATE(MID(D946,7,4), MID(D946,4,2), LEFT(D946,2)) + TIMEVALUE(MID(D946,12,5))
</f>
        <v>46104.83333</v>
      </c>
      <c r="I946" s="7">
        <f t="shared" si="947"/>
        <v>46107.20833</v>
      </c>
      <c r="J946" s="4">
        <f t="shared" si="3"/>
        <v>57</v>
      </c>
      <c r="K946" s="4" t="str">
        <f t="shared" si="4"/>
        <v>Within SLA</v>
      </c>
    </row>
    <row r="947">
      <c r="A947" s="1" t="s">
        <v>1692</v>
      </c>
      <c r="B947" s="1" t="s">
        <v>16</v>
      </c>
      <c r="C947" s="1" t="s">
        <v>35</v>
      </c>
      <c r="D947" s="6" t="s">
        <v>1031</v>
      </c>
      <c r="E947" s="6" t="s">
        <v>1693</v>
      </c>
      <c r="F947" s="6">
        <v>48.0</v>
      </c>
      <c r="G947" s="1" t="s">
        <v>14</v>
      </c>
      <c r="H947" s="7">
        <f t="shared" ref="H947:I947" si="948">DATE(MID(D947,7,4), MID(D947,4,2), LEFT(D947,2)) + TIMEVALUE(MID(D947,12,5))
</f>
        <v>46048.875</v>
      </c>
      <c r="I947" s="7">
        <f t="shared" si="948"/>
        <v>46052.5</v>
      </c>
      <c r="J947" s="4">
        <f t="shared" si="3"/>
        <v>87</v>
      </c>
      <c r="K947" s="4" t="str">
        <f t="shared" si="4"/>
        <v>Breached</v>
      </c>
    </row>
    <row r="948">
      <c r="A948" s="1" t="s">
        <v>1694</v>
      </c>
      <c r="B948" s="1" t="s">
        <v>34</v>
      </c>
      <c r="C948" s="1" t="s">
        <v>19</v>
      </c>
      <c r="D948" s="5">
        <v>46083.75</v>
      </c>
      <c r="E948" s="5">
        <v>46114.333333333336</v>
      </c>
      <c r="F948" s="6">
        <v>24.0</v>
      </c>
      <c r="G948" s="1" t="s">
        <v>14</v>
      </c>
      <c r="H948" s="7">
        <f t="shared" ref="H948:I948" si="949">DATE(MID(D948,7,4), MID(D948,4,2), LEFT(D948,2)) + TIMEVALUE(MID(D948,12,5))
</f>
        <v>46056.75</v>
      </c>
      <c r="I948" s="7">
        <f t="shared" si="949"/>
        <v>46057.33333</v>
      </c>
      <c r="J948" s="4">
        <f t="shared" si="3"/>
        <v>14</v>
      </c>
      <c r="K948" s="4" t="str">
        <f t="shared" si="4"/>
        <v>Within SLA</v>
      </c>
    </row>
    <row r="949">
      <c r="A949" s="1" t="s">
        <v>1695</v>
      </c>
      <c r="B949" s="1" t="s">
        <v>18</v>
      </c>
      <c r="C949" s="1" t="s">
        <v>35</v>
      </c>
      <c r="D949" s="5">
        <v>46298.75</v>
      </c>
      <c r="E949" s="5">
        <v>46329.666666666664</v>
      </c>
      <c r="F949" s="6">
        <v>48.0</v>
      </c>
      <c r="G949" s="1" t="s">
        <v>14</v>
      </c>
      <c r="H949" s="7">
        <f t="shared" ref="H949:I949" si="950">DATE(MID(D949,7,4), MID(D949,4,2), LEFT(D949,2)) + TIMEVALUE(MID(D949,12,5))
</f>
        <v>46091.75</v>
      </c>
      <c r="I949" s="7">
        <f t="shared" si="950"/>
        <v>46092.66667</v>
      </c>
      <c r="J949" s="4">
        <f t="shared" si="3"/>
        <v>22</v>
      </c>
      <c r="K949" s="4" t="str">
        <f t="shared" si="4"/>
        <v>Within SLA</v>
      </c>
    </row>
    <row r="950">
      <c r="A950" s="1" t="s">
        <v>1696</v>
      </c>
      <c r="B950" s="1" t="s">
        <v>18</v>
      </c>
      <c r="C950" s="1" t="s">
        <v>35</v>
      </c>
      <c r="D950" s="5">
        <v>46236.75</v>
      </c>
      <c r="E950" s="5">
        <v>46267.791666666664</v>
      </c>
      <c r="F950" s="6">
        <v>48.0</v>
      </c>
      <c r="G950" s="1" t="s">
        <v>14</v>
      </c>
      <c r="H950" s="7">
        <f t="shared" ref="H950:I950" si="951">DATE(MID(D950,7,4), MID(D950,4,2), LEFT(D950,2)) + TIMEVALUE(MID(D950,12,5))
</f>
        <v>46061.75</v>
      </c>
      <c r="I950" s="7">
        <f t="shared" si="951"/>
        <v>46062.79167</v>
      </c>
      <c r="J950" s="4">
        <f t="shared" si="3"/>
        <v>25</v>
      </c>
      <c r="K950" s="4" t="str">
        <f t="shared" si="4"/>
        <v>Within SLA</v>
      </c>
    </row>
    <row r="951">
      <c r="A951" s="1" t="s">
        <v>1697</v>
      </c>
      <c r="B951" s="1" t="s">
        <v>11</v>
      </c>
      <c r="C951" s="1" t="s">
        <v>35</v>
      </c>
      <c r="D951" s="6" t="s">
        <v>308</v>
      </c>
      <c r="E951" s="6" t="s">
        <v>1254</v>
      </c>
      <c r="F951" s="6">
        <v>48.0</v>
      </c>
      <c r="G951" s="1" t="s">
        <v>14</v>
      </c>
      <c r="H951" s="7">
        <f t="shared" ref="H951:I951" si="952">DATE(MID(D951,7,4), MID(D951,4,2), LEFT(D951,2)) + TIMEVALUE(MID(D951,12,5))
</f>
        <v>46068.25</v>
      </c>
      <c r="I951" s="7">
        <f t="shared" si="952"/>
        <v>46070.08333</v>
      </c>
      <c r="J951" s="4">
        <f t="shared" si="3"/>
        <v>44</v>
      </c>
      <c r="K951" s="4" t="str">
        <f t="shared" si="4"/>
        <v>Within SLA</v>
      </c>
    </row>
    <row r="952">
      <c r="A952" s="1" t="s">
        <v>1698</v>
      </c>
      <c r="B952" s="1" t="s">
        <v>16</v>
      </c>
      <c r="C952" s="1" t="s">
        <v>19</v>
      </c>
      <c r="D952" s="6" t="s">
        <v>1699</v>
      </c>
      <c r="E952" s="6" t="s">
        <v>639</v>
      </c>
      <c r="F952" s="6">
        <v>24.0</v>
      </c>
      <c r="G952" s="1" t="s">
        <v>14</v>
      </c>
      <c r="H952" s="7">
        <f t="shared" ref="H952:I952" si="953">DATE(MID(D952,7,4), MID(D952,4,2), LEFT(D952,2)) + TIMEVALUE(MID(D952,12,5))
</f>
        <v>46037.5</v>
      </c>
      <c r="I952" s="7">
        <f t="shared" si="953"/>
        <v>46038.54167</v>
      </c>
      <c r="J952" s="4">
        <f t="shared" si="3"/>
        <v>25</v>
      </c>
      <c r="K952" s="4" t="str">
        <f t="shared" si="4"/>
        <v>Breached</v>
      </c>
    </row>
    <row r="953">
      <c r="A953" s="1" t="s">
        <v>1700</v>
      </c>
      <c r="B953" s="1" t="s">
        <v>18</v>
      </c>
      <c r="C953" s="1" t="s">
        <v>19</v>
      </c>
      <c r="D953" s="5">
        <v>46024.375</v>
      </c>
      <c r="E953" s="5">
        <v>46114.5</v>
      </c>
      <c r="F953" s="6">
        <v>24.0</v>
      </c>
      <c r="G953" s="1" t="s">
        <v>14</v>
      </c>
      <c r="H953" s="7">
        <f t="shared" ref="H953:I953" si="954">DATE(MID(D953,7,4), MID(D953,4,2), LEFT(D953,2)) + TIMEVALUE(MID(D953,12,5))
</f>
        <v>46054.375</v>
      </c>
      <c r="I953" s="7">
        <f t="shared" si="954"/>
        <v>46057.5</v>
      </c>
      <c r="J953" s="4">
        <f t="shared" si="3"/>
        <v>75</v>
      </c>
      <c r="K953" s="4" t="str">
        <f t="shared" si="4"/>
        <v>Breached</v>
      </c>
    </row>
    <row r="954">
      <c r="A954" s="1" t="s">
        <v>1701</v>
      </c>
      <c r="B954" s="1" t="s">
        <v>18</v>
      </c>
      <c r="C954" s="1" t="s">
        <v>19</v>
      </c>
      <c r="D954" s="5">
        <v>46297.375</v>
      </c>
      <c r="E954" s="6" t="s">
        <v>1702</v>
      </c>
      <c r="F954" s="6">
        <v>24.0</v>
      </c>
      <c r="G954" s="1" t="s">
        <v>14</v>
      </c>
      <c r="H954" s="7">
        <f t="shared" ref="H954:I954" si="955">DATE(MID(D954,7,4), MID(D954,4,2), LEFT(D954,2)) + TIMEVALUE(MID(D954,12,5))
</f>
        <v>46063.375</v>
      </c>
      <c r="I954" s="7">
        <f t="shared" si="955"/>
        <v>46066.125</v>
      </c>
      <c r="J954" s="4">
        <f t="shared" si="3"/>
        <v>66</v>
      </c>
      <c r="K954" s="4" t="str">
        <f t="shared" si="4"/>
        <v>Breached</v>
      </c>
    </row>
    <row r="955">
      <c r="A955" s="1" t="s">
        <v>1703</v>
      </c>
      <c r="B955" s="1" t="s">
        <v>23</v>
      </c>
      <c r="C955" s="1" t="s">
        <v>12</v>
      </c>
      <c r="D955" s="5">
        <v>46144.791666666664</v>
      </c>
      <c r="E955" s="5">
        <v>46236.291666666664</v>
      </c>
      <c r="F955" s="6">
        <v>72.0</v>
      </c>
      <c r="G955" s="1" t="s">
        <v>14</v>
      </c>
      <c r="H955" s="7">
        <f t="shared" ref="H955:I955" si="956">DATE(MID(D955,7,4), MID(D955,4,2), LEFT(D955,2)) + TIMEVALUE(MID(D955,12,5))
</f>
        <v>46058.79167</v>
      </c>
      <c r="I955" s="7">
        <f t="shared" si="956"/>
        <v>46061.29167</v>
      </c>
      <c r="J955" s="4">
        <f t="shared" si="3"/>
        <v>60</v>
      </c>
      <c r="K955" s="4" t="str">
        <f t="shared" si="4"/>
        <v>Within SLA</v>
      </c>
    </row>
    <row r="956">
      <c r="A956" s="1" t="s">
        <v>1704</v>
      </c>
      <c r="B956" s="1" t="s">
        <v>11</v>
      </c>
      <c r="C956" s="1" t="s">
        <v>12</v>
      </c>
      <c r="D956" s="6" t="s">
        <v>1705</v>
      </c>
      <c r="E956" s="6" t="s">
        <v>1564</v>
      </c>
      <c r="F956" s="6">
        <v>72.0</v>
      </c>
      <c r="G956" s="1" t="s">
        <v>14</v>
      </c>
      <c r="H956" s="7">
        <f t="shared" ref="H956:I956" si="957">DATE(MID(D956,7,4), MID(D956,4,2), LEFT(D956,2)) + TIMEVALUE(MID(D956,12,5))
</f>
        <v>46043.91667</v>
      </c>
      <c r="I956" s="7">
        <f t="shared" si="957"/>
        <v>46044.54167</v>
      </c>
      <c r="J956" s="4">
        <f t="shared" si="3"/>
        <v>15</v>
      </c>
      <c r="K956" s="4" t="str">
        <f t="shared" si="4"/>
        <v>Within SLA</v>
      </c>
    </row>
    <row r="957">
      <c r="A957" s="1" t="s">
        <v>1706</v>
      </c>
      <c r="B957" s="1" t="s">
        <v>34</v>
      </c>
      <c r="C957" s="1" t="s">
        <v>35</v>
      </c>
      <c r="D957" s="6" t="s">
        <v>1707</v>
      </c>
      <c r="E957" s="6" t="s">
        <v>299</v>
      </c>
      <c r="F957" s="6">
        <v>48.0</v>
      </c>
      <c r="G957" s="1" t="s">
        <v>14</v>
      </c>
      <c r="H957" s="7">
        <f t="shared" ref="H957:I957" si="958">DATE(MID(D957,7,4), MID(D957,4,2), LEFT(D957,2)) + TIMEVALUE(MID(D957,12,5))
</f>
        <v>46069.79167</v>
      </c>
      <c r="I957" s="7">
        <f t="shared" si="958"/>
        <v>46073.375</v>
      </c>
      <c r="J957" s="4">
        <f t="shared" si="3"/>
        <v>86</v>
      </c>
      <c r="K957" s="4" t="str">
        <f t="shared" si="4"/>
        <v>Breached</v>
      </c>
    </row>
    <row r="958">
      <c r="A958" s="1" t="s">
        <v>1708</v>
      </c>
      <c r="B958" s="1" t="s">
        <v>34</v>
      </c>
      <c r="C958" s="1" t="s">
        <v>35</v>
      </c>
      <c r="D958" s="6" t="s">
        <v>1709</v>
      </c>
      <c r="E958" s="6" t="s">
        <v>700</v>
      </c>
      <c r="F958" s="6">
        <v>48.0</v>
      </c>
      <c r="G958" s="1" t="s">
        <v>14</v>
      </c>
      <c r="H958" s="7">
        <f t="shared" ref="H958:I958" si="959">DATE(MID(D958,7,4), MID(D958,4,2), LEFT(D958,2)) + TIMEVALUE(MID(D958,12,5))
</f>
        <v>46070.875</v>
      </c>
      <c r="I958" s="7">
        <f t="shared" si="959"/>
        <v>46073.20833</v>
      </c>
      <c r="J958" s="4">
        <f t="shared" si="3"/>
        <v>56</v>
      </c>
      <c r="K958" s="4" t="str">
        <f t="shared" si="4"/>
        <v>Breached</v>
      </c>
    </row>
    <row r="959">
      <c r="A959" s="1" t="s">
        <v>1710</v>
      </c>
      <c r="B959" s="1" t="s">
        <v>23</v>
      </c>
      <c r="C959" s="1" t="s">
        <v>19</v>
      </c>
      <c r="D959" s="5">
        <v>46055.083333333336</v>
      </c>
      <c r="E959" s="5">
        <v>46083.291666666664</v>
      </c>
      <c r="F959" s="6">
        <v>24.0</v>
      </c>
      <c r="G959" s="1" t="s">
        <v>14</v>
      </c>
      <c r="H959" s="7">
        <f t="shared" ref="H959:I959" si="960">DATE(MID(D959,7,4), MID(D959,4,2), LEFT(D959,2)) + TIMEVALUE(MID(D959,12,5))
</f>
        <v>46055.08333</v>
      </c>
      <c r="I959" s="7">
        <f t="shared" si="960"/>
        <v>46056.29167</v>
      </c>
      <c r="J959" s="4">
        <f t="shared" si="3"/>
        <v>29</v>
      </c>
      <c r="K959" s="4" t="str">
        <f t="shared" si="4"/>
        <v>Breached</v>
      </c>
    </row>
    <row r="960">
      <c r="A960" s="1" t="s">
        <v>1711</v>
      </c>
      <c r="B960" s="1" t="s">
        <v>34</v>
      </c>
      <c r="C960" s="1" t="s">
        <v>12</v>
      </c>
      <c r="D960" s="5">
        <v>46024.25</v>
      </c>
      <c r="E960" s="5">
        <v>46055.791666666664</v>
      </c>
      <c r="F960" s="6">
        <v>72.0</v>
      </c>
      <c r="G960" s="1" t="s">
        <v>14</v>
      </c>
      <c r="H960" s="7">
        <f t="shared" ref="H960:I960" si="961">DATE(MID(D960,7,4), MID(D960,4,2), LEFT(D960,2)) + TIMEVALUE(MID(D960,12,5))
</f>
        <v>46054.25</v>
      </c>
      <c r="I960" s="7">
        <f t="shared" si="961"/>
        <v>46055.79167</v>
      </c>
      <c r="J960" s="4">
        <f t="shared" si="3"/>
        <v>37</v>
      </c>
      <c r="K960" s="4" t="str">
        <f t="shared" si="4"/>
        <v>Within SLA</v>
      </c>
    </row>
    <row r="961">
      <c r="A961" s="1" t="s">
        <v>1712</v>
      </c>
      <c r="B961" s="1" t="s">
        <v>34</v>
      </c>
      <c r="C961" s="1" t="s">
        <v>12</v>
      </c>
      <c r="D961" s="6" t="s">
        <v>592</v>
      </c>
      <c r="E961" s="6" t="s">
        <v>215</v>
      </c>
      <c r="F961" s="6">
        <v>72.0</v>
      </c>
      <c r="G961" s="1" t="s">
        <v>14</v>
      </c>
      <c r="H961" s="7">
        <f t="shared" ref="H961:I961" si="962">DATE(MID(D961,7,4), MID(D961,4,2), LEFT(D961,2)) + TIMEVALUE(MID(D961,12,5))
</f>
        <v>46050.875</v>
      </c>
      <c r="I961" s="7">
        <f t="shared" si="962"/>
        <v>46052.79167</v>
      </c>
      <c r="J961" s="4">
        <f t="shared" si="3"/>
        <v>46</v>
      </c>
      <c r="K961" s="4" t="str">
        <f t="shared" si="4"/>
        <v>Within SLA</v>
      </c>
    </row>
    <row r="962">
      <c r="A962" s="1" t="s">
        <v>1713</v>
      </c>
      <c r="B962" s="1" t="s">
        <v>23</v>
      </c>
      <c r="C962" s="1" t="s">
        <v>19</v>
      </c>
      <c r="D962" s="6" t="s">
        <v>888</v>
      </c>
      <c r="E962" s="6" t="s">
        <v>150</v>
      </c>
      <c r="F962" s="6">
        <v>24.0</v>
      </c>
      <c r="G962" s="1" t="s">
        <v>14</v>
      </c>
      <c r="H962" s="7">
        <f t="shared" ref="H962:I962" si="963">DATE(MID(D962,7,4), MID(D962,4,2), LEFT(D962,2)) + TIMEVALUE(MID(D962,12,5))
</f>
        <v>46069.08333</v>
      </c>
      <c r="I962" s="7">
        <f t="shared" si="963"/>
        <v>46070.41667</v>
      </c>
      <c r="J962" s="4">
        <f t="shared" si="3"/>
        <v>32</v>
      </c>
      <c r="K962" s="4" t="str">
        <f t="shared" si="4"/>
        <v>Breached</v>
      </c>
    </row>
    <row r="963">
      <c r="A963" s="1" t="s">
        <v>1714</v>
      </c>
      <c r="B963" s="1" t="s">
        <v>23</v>
      </c>
      <c r="C963" s="1" t="s">
        <v>35</v>
      </c>
      <c r="D963" s="6" t="s">
        <v>1425</v>
      </c>
      <c r="E963" s="6" t="s">
        <v>1426</v>
      </c>
      <c r="F963" s="6">
        <v>48.0</v>
      </c>
      <c r="G963" s="1" t="s">
        <v>14</v>
      </c>
      <c r="H963" s="7">
        <f t="shared" ref="H963:I963" si="964">DATE(MID(D963,7,4), MID(D963,4,2), LEFT(D963,2)) + TIMEVALUE(MID(D963,12,5))
</f>
        <v>46078.79167</v>
      </c>
      <c r="I963" s="7">
        <f t="shared" si="964"/>
        <v>46079.41667</v>
      </c>
      <c r="J963" s="4">
        <f t="shared" si="3"/>
        <v>15</v>
      </c>
      <c r="K963" s="4" t="str">
        <f t="shared" si="4"/>
        <v>Within SLA</v>
      </c>
    </row>
    <row r="964">
      <c r="A964" s="1" t="s">
        <v>1715</v>
      </c>
      <c r="B964" s="1" t="s">
        <v>23</v>
      </c>
      <c r="C964" s="1" t="s">
        <v>35</v>
      </c>
      <c r="D964" s="5">
        <v>46205.291666666664</v>
      </c>
      <c r="E964" s="5">
        <v>46297.666666666664</v>
      </c>
      <c r="F964" s="6">
        <v>48.0</v>
      </c>
      <c r="G964" s="1" t="s">
        <v>14</v>
      </c>
      <c r="H964" s="7">
        <f t="shared" ref="H964:I964" si="965">DATE(MID(D964,7,4), MID(D964,4,2), LEFT(D964,2)) + TIMEVALUE(MID(D964,12,5))
</f>
        <v>46060.29167</v>
      </c>
      <c r="I964" s="7">
        <f t="shared" si="965"/>
        <v>46063.66667</v>
      </c>
      <c r="J964" s="4">
        <f t="shared" si="3"/>
        <v>81</v>
      </c>
      <c r="K964" s="4" t="str">
        <f t="shared" si="4"/>
        <v>Breached</v>
      </c>
    </row>
    <row r="965">
      <c r="A965" s="1" t="s">
        <v>1716</v>
      </c>
      <c r="B965" s="1" t="s">
        <v>18</v>
      </c>
      <c r="C965" s="1" t="s">
        <v>19</v>
      </c>
      <c r="D965" s="5">
        <v>46115.708333333336</v>
      </c>
      <c r="E965" s="5">
        <v>46176.125</v>
      </c>
      <c r="F965" s="6">
        <v>24.0</v>
      </c>
      <c r="G965" s="1" t="s">
        <v>14</v>
      </c>
      <c r="H965" s="7">
        <f t="shared" ref="H965:I965" si="966">DATE(MID(D965,7,4), MID(D965,4,2), LEFT(D965,2)) + TIMEVALUE(MID(D965,12,5))
</f>
        <v>46085.70833</v>
      </c>
      <c r="I965" s="7">
        <f t="shared" si="966"/>
        <v>46087.125</v>
      </c>
      <c r="J965" s="4">
        <f t="shared" si="3"/>
        <v>34</v>
      </c>
      <c r="K965" s="4" t="str">
        <f t="shared" si="4"/>
        <v>Breached</v>
      </c>
    </row>
    <row r="966">
      <c r="A966" s="1" t="s">
        <v>1717</v>
      </c>
      <c r="B966" s="1" t="s">
        <v>34</v>
      </c>
      <c r="C966" s="1" t="s">
        <v>12</v>
      </c>
      <c r="D966" s="5">
        <v>46359.75</v>
      </c>
      <c r="E966" s="6" t="s">
        <v>996</v>
      </c>
      <c r="F966" s="6">
        <v>72.0</v>
      </c>
      <c r="G966" s="1" t="s">
        <v>14</v>
      </c>
      <c r="H966" s="7">
        <f t="shared" ref="H966:I966" si="967">DATE(MID(D966,7,4), MID(D966,4,2), LEFT(D966,2)) + TIMEVALUE(MID(D966,12,5))
</f>
        <v>46093.75</v>
      </c>
      <c r="I966" s="7">
        <f t="shared" si="967"/>
        <v>46095.125</v>
      </c>
      <c r="J966" s="4">
        <f t="shared" si="3"/>
        <v>33</v>
      </c>
      <c r="K966" s="4" t="str">
        <f t="shared" si="4"/>
        <v>Within SLA</v>
      </c>
    </row>
    <row r="967">
      <c r="A967" s="1" t="s">
        <v>1718</v>
      </c>
      <c r="B967" s="1" t="s">
        <v>11</v>
      </c>
      <c r="C967" s="1" t="s">
        <v>12</v>
      </c>
      <c r="D967" s="6" t="s">
        <v>1004</v>
      </c>
      <c r="E967" s="6" t="s">
        <v>516</v>
      </c>
      <c r="F967" s="6">
        <v>72.0</v>
      </c>
      <c r="G967" s="1" t="s">
        <v>14</v>
      </c>
      <c r="H967" s="7">
        <f t="shared" ref="H967:I967" si="968">DATE(MID(D967,7,4), MID(D967,4,2), LEFT(D967,2)) + TIMEVALUE(MID(D967,12,5))
</f>
        <v>46100.25</v>
      </c>
      <c r="I967" s="7">
        <f t="shared" si="968"/>
        <v>46101.375</v>
      </c>
      <c r="J967" s="4">
        <f t="shared" si="3"/>
        <v>27</v>
      </c>
      <c r="K967" s="4" t="str">
        <f t="shared" si="4"/>
        <v>Within SLA</v>
      </c>
    </row>
    <row r="968">
      <c r="A968" s="1" t="s">
        <v>1719</v>
      </c>
      <c r="B968" s="1" t="s">
        <v>11</v>
      </c>
      <c r="C968" s="1" t="s">
        <v>12</v>
      </c>
      <c r="D968" s="5">
        <v>46358.125</v>
      </c>
      <c r="E968" s="6" t="s">
        <v>1720</v>
      </c>
      <c r="F968" s="6">
        <v>72.0</v>
      </c>
      <c r="G968" s="1" t="s">
        <v>14</v>
      </c>
      <c r="H968" s="7">
        <f t="shared" ref="H968:I968" si="969">DATE(MID(D968,7,4), MID(D968,4,2), LEFT(D968,2)) + TIMEVALUE(MID(D968,12,5))
</f>
        <v>46065.125</v>
      </c>
      <c r="I968" s="7">
        <f t="shared" si="969"/>
        <v>46066.66667</v>
      </c>
      <c r="J968" s="4">
        <f t="shared" si="3"/>
        <v>37</v>
      </c>
      <c r="K968" s="4" t="str">
        <f t="shared" si="4"/>
        <v>Within SLA</v>
      </c>
    </row>
    <row r="969">
      <c r="A969" s="1" t="s">
        <v>1721</v>
      </c>
      <c r="B969" s="1" t="s">
        <v>18</v>
      </c>
      <c r="C969" s="1" t="s">
        <v>12</v>
      </c>
      <c r="D969" s="5">
        <v>46115.75</v>
      </c>
      <c r="E969" s="5">
        <v>46237.541666666664</v>
      </c>
      <c r="F969" s="6">
        <v>72.0</v>
      </c>
      <c r="G969" s="1" t="s">
        <v>14</v>
      </c>
      <c r="H969" s="7">
        <f t="shared" ref="H969:I969" si="970">DATE(MID(D969,7,4), MID(D969,4,2), LEFT(D969,2)) + TIMEVALUE(MID(D969,12,5))
</f>
        <v>46085.75</v>
      </c>
      <c r="I969" s="7">
        <f t="shared" si="970"/>
        <v>46089.54167</v>
      </c>
      <c r="J969" s="4">
        <f t="shared" si="3"/>
        <v>91</v>
      </c>
      <c r="K969" s="4" t="str">
        <f t="shared" si="4"/>
        <v>Breached</v>
      </c>
    </row>
    <row r="970">
      <c r="A970" s="1" t="s">
        <v>1722</v>
      </c>
      <c r="B970" s="1" t="s">
        <v>34</v>
      </c>
      <c r="C970" s="1" t="s">
        <v>35</v>
      </c>
      <c r="D970" s="5">
        <v>46328.0</v>
      </c>
      <c r="E970" s="6" t="s">
        <v>1364</v>
      </c>
      <c r="F970" s="6">
        <v>48.0</v>
      </c>
      <c r="G970" s="1" t="s">
        <v>14</v>
      </c>
      <c r="H970" s="7">
        <f t="shared" ref="H970:I970" si="971">DATE(MID(D970,7,4), MID(D970,4,2), LEFT(D970,2)) + TIMEVALUE(MID(D970,12,5))
</f>
        <v>46064</v>
      </c>
      <c r="I970" s="7">
        <f t="shared" si="971"/>
        <v>46067.625</v>
      </c>
      <c r="J970" s="4">
        <f t="shared" si="3"/>
        <v>87</v>
      </c>
      <c r="K970" s="4" t="str">
        <f t="shared" si="4"/>
        <v>Breached</v>
      </c>
    </row>
    <row r="971">
      <c r="A971" s="1" t="s">
        <v>1723</v>
      </c>
      <c r="B971" s="1" t="s">
        <v>18</v>
      </c>
      <c r="C971" s="1" t="s">
        <v>35</v>
      </c>
      <c r="D971" s="5">
        <v>46205.708333333336</v>
      </c>
      <c r="E971" s="5">
        <v>46236.625</v>
      </c>
      <c r="F971" s="6">
        <v>48.0</v>
      </c>
      <c r="G971" s="1" t="s">
        <v>14</v>
      </c>
      <c r="H971" s="7">
        <f t="shared" ref="H971:I971" si="972">DATE(MID(D971,7,4), MID(D971,4,2), LEFT(D971,2)) + TIMEVALUE(MID(D971,12,5))
</f>
        <v>46060.70833</v>
      </c>
      <c r="I971" s="7">
        <f t="shared" si="972"/>
        <v>46061.625</v>
      </c>
      <c r="J971" s="4">
        <f t="shared" si="3"/>
        <v>22</v>
      </c>
      <c r="K971" s="4" t="str">
        <f t="shared" si="4"/>
        <v>Within SLA</v>
      </c>
    </row>
    <row r="972">
      <c r="A972" s="1" t="s">
        <v>1724</v>
      </c>
      <c r="B972" s="1" t="s">
        <v>11</v>
      </c>
      <c r="C972" s="1" t="s">
        <v>35</v>
      </c>
      <c r="D972" s="5">
        <v>46358.666666666664</v>
      </c>
      <c r="E972" s="6" t="s">
        <v>888</v>
      </c>
      <c r="F972" s="6">
        <v>48.0</v>
      </c>
      <c r="G972" s="1" t="s">
        <v>14</v>
      </c>
      <c r="H972" s="7">
        <f t="shared" ref="H972:I972" si="973">DATE(MID(D972,7,4), MID(D972,4,2), LEFT(D972,2)) + TIMEVALUE(MID(D972,12,5))
</f>
        <v>46065.66667</v>
      </c>
      <c r="I972" s="7">
        <f t="shared" si="973"/>
        <v>46069.08333</v>
      </c>
      <c r="J972" s="4">
        <f t="shared" si="3"/>
        <v>82</v>
      </c>
      <c r="K972" s="4" t="str">
        <f t="shared" si="4"/>
        <v>Breached</v>
      </c>
    </row>
    <row r="973">
      <c r="A973" s="1" t="s">
        <v>1725</v>
      </c>
      <c r="B973" s="1" t="s">
        <v>11</v>
      </c>
      <c r="C973" s="1" t="s">
        <v>19</v>
      </c>
      <c r="D973" s="5">
        <v>46115.166666666664</v>
      </c>
      <c r="E973" s="5">
        <v>46145.333333333336</v>
      </c>
      <c r="F973" s="6">
        <v>24.0</v>
      </c>
      <c r="G973" s="1" t="s">
        <v>14</v>
      </c>
      <c r="H973" s="7">
        <f t="shared" ref="H973:I973" si="974">DATE(MID(D973,7,4), MID(D973,4,2), LEFT(D973,2)) + TIMEVALUE(MID(D973,12,5))
</f>
        <v>46085.16667</v>
      </c>
      <c r="I973" s="7">
        <f t="shared" si="974"/>
        <v>46086.33333</v>
      </c>
      <c r="J973" s="4">
        <f t="shared" si="3"/>
        <v>28</v>
      </c>
      <c r="K973" s="4" t="str">
        <f t="shared" si="4"/>
        <v>Breached</v>
      </c>
    </row>
    <row r="974">
      <c r="A974" s="1" t="s">
        <v>1726</v>
      </c>
      <c r="B974" s="1" t="s">
        <v>16</v>
      </c>
      <c r="C974" s="1" t="s">
        <v>12</v>
      </c>
      <c r="D974" s="5">
        <v>46023.083333333336</v>
      </c>
      <c r="E974" s="5">
        <v>46054.75</v>
      </c>
      <c r="F974" s="6">
        <v>72.0</v>
      </c>
      <c r="G974" s="1" t="s">
        <v>14</v>
      </c>
      <c r="H974" s="7">
        <f t="shared" ref="H974:I974" si="975">DATE(MID(D974,7,4), MID(D974,4,2), LEFT(D974,2)) + TIMEVALUE(MID(D974,12,5))
</f>
        <v>46023.08333</v>
      </c>
      <c r="I974" s="7">
        <f t="shared" si="975"/>
        <v>46024.75</v>
      </c>
      <c r="J974" s="4">
        <f t="shared" si="3"/>
        <v>40</v>
      </c>
      <c r="K974" s="4" t="str">
        <f t="shared" si="4"/>
        <v>Within SLA</v>
      </c>
    </row>
    <row r="975">
      <c r="A975" s="1" t="s">
        <v>1727</v>
      </c>
      <c r="B975" s="1" t="s">
        <v>16</v>
      </c>
      <c r="C975" s="1" t="s">
        <v>35</v>
      </c>
      <c r="D975" s="6" t="s">
        <v>1728</v>
      </c>
      <c r="E975" s="6" t="s">
        <v>489</v>
      </c>
      <c r="F975" s="6">
        <v>48.0</v>
      </c>
      <c r="G975" s="1" t="s">
        <v>14</v>
      </c>
      <c r="H975" s="7">
        <f t="shared" ref="H975:I975" si="976">DATE(MID(D975,7,4), MID(D975,4,2), LEFT(D975,2)) + TIMEVALUE(MID(D975,12,5))
</f>
        <v>46038.875</v>
      </c>
      <c r="I975" s="7">
        <f t="shared" si="976"/>
        <v>46040</v>
      </c>
      <c r="J975" s="4">
        <f t="shared" si="3"/>
        <v>27</v>
      </c>
      <c r="K975" s="4" t="str">
        <f t="shared" si="4"/>
        <v>Within SLA</v>
      </c>
    </row>
    <row r="976">
      <c r="A976" s="1" t="s">
        <v>1729</v>
      </c>
      <c r="B976" s="1" t="s">
        <v>18</v>
      </c>
      <c r="C976" s="1" t="s">
        <v>12</v>
      </c>
      <c r="D976" s="5">
        <v>46144.875</v>
      </c>
      <c r="E976" s="5">
        <v>46175.75</v>
      </c>
      <c r="F976" s="6">
        <v>72.0</v>
      </c>
      <c r="G976" s="1" t="s">
        <v>14</v>
      </c>
      <c r="H976" s="7">
        <f t="shared" ref="H976:I976" si="977">DATE(MID(D976,7,4), MID(D976,4,2), LEFT(D976,2)) + TIMEVALUE(MID(D976,12,5))
</f>
        <v>46058.875</v>
      </c>
      <c r="I976" s="7">
        <f t="shared" si="977"/>
        <v>46059.75</v>
      </c>
      <c r="J976" s="4">
        <f t="shared" si="3"/>
        <v>21</v>
      </c>
      <c r="K976" s="4" t="str">
        <f t="shared" si="4"/>
        <v>Within SLA</v>
      </c>
    </row>
    <row r="977">
      <c r="A977" s="1" t="s">
        <v>1730</v>
      </c>
      <c r="B977" s="1" t="s">
        <v>34</v>
      </c>
      <c r="C977" s="1" t="s">
        <v>35</v>
      </c>
      <c r="D977" s="6" t="s">
        <v>1731</v>
      </c>
      <c r="E977" s="6" t="s">
        <v>492</v>
      </c>
      <c r="F977" s="6">
        <v>48.0</v>
      </c>
      <c r="G977" s="1" t="s">
        <v>14</v>
      </c>
      <c r="H977" s="7">
        <f t="shared" ref="H977:I977" si="978">DATE(MID(D977,7,4), MID(D977,4,2), LEFT(D977,2)) + TIMEVALUE(MID(D977,12,5))
</f>
        <v>46078.625</v>
      </c>
      <c r="I977" s="7">
        <f t="shared" si="978"/>
        <v>46080.20833</v>
      </c>
      <c r="J977" s="4">
        <f t="shared" si="3"/>
        <v>38</v>
      </c>
      <c r="K977" s="4" t="str">
        <f t="shared" si="4"/>
        <v>Within SLA</v>
      </c>
    </row>
    <row r="978">
      <c r="A978" s="1" t="s">
        <v>1732</v>
      </c>
      <c r="B978" s="1" t="s">
        <v>34</v>
      </c>
      <c r="C978" s="1" t="s">
        <v>12</v>
      </c>
      <c r="D978" s="5">
        <v>46024.958333333336</v>
      </c>
      <c r="E978" s="5">
        <v>46083.333333333336</v>
      </c>
      <c r="F978" s="6">
        <v>72.0</v>
      </c>
      <c r="G978" s="1" t="s">
        <v>14</v>
      </c>
      <c r="H978" s="7">
        <f t="shared" ref="H978:I978" si="979">DATE(MID(D978,7,4), MID(D978,4,2), LEFT(D978,2)) + TIMEVALUE(MID(D978,12,5))
</f>
        <v>46054.95833</v>
      </c>
      <c r="I978" s="7">
        <f t="shared" si="979"/>
        <v>46056.33333</v>
      </c>
      <c r="J978" s="4">
        <f t="shared" si="3"/>
        <v>33</v>
      </c>
      <c r="K978" s="4" t="str">
        <f t="shared" si="4"/>
        <v>Within SLA</v>
      </c>
    </row>
    <row r="979">
      <c r="A979" s="1" t="s">
        <v>1733</v>
      </c>
      <c r="B979" s="1" t="s">
        <v>16</v>
      </c>
      <c r="C979" s="1" t="s">
        <v>35</v>
      </c>
      <c r="D979" s="5">
        <v>46114.458333333336</v>
      </c>
      <c r="E979" s="5">
        <v>46236.416666666664</v>
      </c>
      <c r="F979" s="6">
        <v>48.0</v>
      </c>
      <c r="G979" s="1" t="s">
        <v>14</v>
      </c>
      <c r="H979" s="7">
        <f t="shared" ref="H979:I979" si="980">DATE(MID(D979,7,4), MID(D979,4,2), LEFT(D979,2)) + TIMEVALUE(MID(D979,12,5))
</f>
        <v>46057.45833</v>
      </c>
      <c r="I979" s="7">
        <f t="shared" si="980"/>
        <v>46061.41667</v>
      </c>
      <c r="J979" s="4">
        <f t="shared" si="3"/>
        <v>95</v>
      </c>
      <c r="K979" s="4" t="str">
        <f t="shared" si="4"/>
        <v>Breached</v>
      </c>
    </row>
    <row r="980">
      <c r="A980" s="1" t="s">
        <v>1734</v>
      </c>
      <c r="B980" s="1" t="s">
        <v>16</v>
      </c>
      <c r="C980" s="1" t="s">
        <v>12</v>
      </c>
      <c r="D980" s="6" t="s">
        <v>1735</v>
      </c>
      <c r="E980" s="5">
        <v>46025.916666666664</v>
      </c>
      <c r="F980" s="6">
        <v>72.0</v>
      </c>
      <c r="G980" s="1" t="s">
        <v>14</v>
      </c>
      <c r="H980" s="7">
        <f t="shared" ref="H980:I980" si="981">DATE(MID(D980,7,4), MID(D980,4,2), LEFT(D980,2)) + TIMEVALUE(MID(D980,12,5))
</f>
        <v>46080.29167</v>
      </c>
      <c r="I980" s="7">
        <f t="shared" si="981"/>
        <v>46082.91667</v>
      </c>
      <c r="J980" s="4">
        <f t="shared" si="3"/>
        <v>63</v>
      </c>
      <c r="K980" s="4" t="str">
        <f t="shared" si="4"/>
        <v>Within SLA</v>
      </c>
    </row>
    <row r="981">
      <c r="A981" s="1" t="s">
        <v>1736</v>
      </c>
      <c r="B981" s="1" t="s">
        <v>11</v>
      </c>
      <c r="C981" s="1" t="s">
        <v>12</v>
      </c>
      <c r="D981" s="6" t="s">
        <v>536</v>
      </c>
      <c r="E981" s="6" t="s">
        <v>1476</v>
      </c>
      <c r="F981" s="6">
        <v>72.0</v>
      </c>
      <c r="G981" s="1" t="s">
        <v>14</v>
      </c>
      <c r="H981" s="7">
        <f t="shared" ref="H981:I981" si="982">DATE(MID(D981,7,4), MID(D981,4,2), LEFT(D981,2)) + TIMEVALUE(MID(D981,12,5))
</f>
        <v>46037.83333</v>
      </c>
      <c r="I981" s="7">
        <f t="shared" si="982"/>
        <v>46040.29167</v>
      </c>
      <c r="J981" s="4">
        <f t="shared" si="3"/>
        <v>59</v>
      </c>
      <c r="K981" s="4" t="str">
        <f t="shared" si="4"/>
        <v>Within SLA</v>
      </c>
    </row>
    <row r="982">
      <c r="A982" s="1" t="s">
        <v>1737</v>
      </c>
      <c r="B982" s="1" t="s">
        <v>23</v>
      </c>
      <c r="C982" s="1" t="s">
        <v>12</v>
      </c>
      <c r="D982" s="6" t="s">
        <v>303</v>
      </c>
      <c r="E982" s="6" t="s">
        <v>1738</v>
      </c>
      <c r="F982" s="6">
        <v>72.0</v>
      </c>
      <c r="G982" s="1" t="s">
        <v>14</v>
      </c>
      <c r="H982" s="7">
        <f t="shared" ref="H982:I982" si="983">DATE(MID(D982,7,4), MID(D982,4,2), LEFT(D982,2)) + TIMEVALUE(MID(D982,12,5))
</f>
        <v>46040.95833</v>
      </c>
      <c r="I982" s="7">
        <f t="shared" si="983"/>
        <v>46042.29167</v>
      </c>
      <c r="J982" s="4">
        <f t="shared" si="3"/>
        <v>32</v>
      </c>
      <c r="K982" s="4" t="str">
        <f t="shared" si="4"/>
        <v>Within SLA</v>
      </c>
    </row>
    <row r="983">
      <c r="A983" s="1" t="s">
        <v>1739</v>
      </c>
      <c r="B983" s="1" t="s">
        <v>11</v>
      </c>
      <c r="C983" s="1" t="s">
        <v>35</v>
      </c>
      <c r="D983" s="6" t="s">
        <v>1740</v>
      </c>
      <c r="E983" s="6" t="s">
        <v>25</v>
      </c>
      <c r="F983" s="6">
        <v>48.0</v>
      </c>
      <c r="G983" s="1" t="s">
        <v>14</v>
      </c>
      <c r="H983" s="7">
        <f t="shared" ref="H983:I983" si="984">DATE(MID(D983,7,4), MID(D983,4,2), LEFT(D983,2)) + TIMEVALUE(MID(D983,12,5))
</f>
        <v>46076.83333</v>
      </c>
      <c r="I983" s="7">
        <f t="shared" si="984"/>
        <v>46078.29167</v>
      </c>
      <c r="J983" s="4">
        <f t="shared" si="3"/>
        <v>35</v>
      </c>
      <c r="K983" s="4" t="str">
        <f t="shared" si="4"/>
        <v>Within SLA</v>
      </c>
    </row>
    <row r="984">
      <c r="A984" s="1" t="s">
        <v>1741</v>
      </c>
      <c r="B984" s="1" t="s">
        <v>34</v>
      </c>
      <c r="C984" s="1" t="s">
        <v>35</v>
      </c>
      <c r="D984" s="5">
        <v>46025.208333333336</v>
      </c>
      <c r="E984" s="5">
        <v>46056.291666666664</v>
      </c>
      <c r="F984" s="6">
        <v>48.0</v>
      </c>
      <c r="G984" s="1" t="s">
        <v>14</v>
      </c>
      <c r="H984" s="7">
        <f t="shared" ref="H984:I984" si="985">DATE(MID(D984,7,4), MID(D984,4,2), LEFT(D984,2)) + TIMEVALUE(MID(D984,12,5))
</f>
        <v>46082.20833</v>
      </c>
      <c r="I984" s="7">
        <f t="shared" si="985"/>
        <v>46083.29167</v>
      </c>
      <c r="J984" s="4">
        <f t="shared" si="3"/>
        <v>26</v>
      </c>
      <c r="K984" s="4" t="str">
        <f t="shared" si="4"/>
        <v>Within SLA</v>
      </c>
    </row>
    <row r="985">
      <c r="A985" s="1" t="s">
        <v>1742</v>
      </c>
      <c r="B985" s="1" t="s">
        <v>23</v>
      </c>
      <c r="C985" s="1" t="s">
        <v>35</v>
      </c>
      <c r="D985" s="6" t="s">
        <v>1743</v>
      </c>
      <c r="E985" s="5">
        <v>46025.958333333336</v>
      </c>
      <c r="F985" s="6">
        <v>48.0</v>
      </c>
      <c r="G985" s="1" t="s">
        <v>14</v>
      </c>
      <c r="H985" s="7">
        <f t="shared" ref="H985:I985" si="986">DATE(MID(D985,7,4), MID(D985,4,2), LEFT(D985,2)) + TIMEVALUE(MID(D985,12,5))
</f>
        <v>46081.33333</v>
      </c>
      <c r="I985" s="7">
        <f t="shared" si="986"/>
        <v>46082.95833</v>
      </c>
      <c r="J985" s="4">
        <f t="shared" si="3"/>
        <v>39</v>
      </c>
      <c r="K985" s="4" t="str">
        <f t="shared" si="4"/>
        <v>Within SLA</v>
      </c>
    </row>
    <row r="986">
      <c r="A986" s="1" t="s">
        <v>1744</v>
      </c>
      <c r="B986" s="1" t="s">
        <v>11</v>
      </c>
      <c r="C986" s="1" t="s">
        <v>19</v>
      </c>
      <c r="D986" s="6" t="s">
        <v>1745</v>
      </c>
      <c r="E986" s="6" t="s">
        <v>1746</v>
      </c>
      <c r="F986" s="6">
        <v>24.0</v>
      </c>
      <c r="G986" s="1" t="s">
        <v>14</v>
      </c>
      <c r="H986" s="7">
        <f t="shared" ref="H986:I986" si="987">DATE(MID(D986,7,4), MID(D986,4,2), LEFT(D986,2)) + TIMEVALUE(MID(D986,12,5))
</f>
        <v>46035.91667</v>
      </c>
      <c r="I986" s="7">
        <f t="shared" si="987"/>
        <v>46038.75</v>
      </c>
      <c r="J986" s="4">
        <f t="shared" si="3"/>
        <v>68</v>
      </c>
      <c r="K986" s="4" t="str">
        <f t="shared" si="4"/>
        <v>Breached</v>
      </c>
    </row>
    <row r="987">
      <c r="A987" s="1" t="s">
        <v>1747</v>
      </c>
      <c r="B987" s="1" t="s">
        <v>34</v>
      </c>
      <c r="C987" s="1" t="s">
        <v>35</v>
      </c>
      <c r="D987" s="6" t="s">
        <v>1177</v>
      </c>
      <c r="E987" s="5">
        <v>46025.833333333336</v>
      </c>
      <c r="F987" s="6">
        <v>48.0</v>
      </c>
      <c r="G987" s="1" t="s">
        <v>14</v>
      </c>
      <c r="H987" s="7">
        <f t="shared" ref="H987:I987" si="988">DATE(MID(D987,7,4), MID(D987,4,2), LEFT(D987,2)) + TIMEVALUE(MID(D987,12,5))
</f>
        <v>46080.54167</v>
      </c>
      <c r="I987" s="7">
        <f t="shared" si="988"/>
        <v>46082.83333</v>
      </c>
      <c r="J987" s="4">
        <f t="shared" si="3"/>
        <v>55</v>
      </c>
      <c r="K987" s="4" t="str">
        <f t="shared" si="4"/>
        <v>Breached</v>
      </c>
    </row>
    <row r="988">
      <c r="A988" s="1" t="s">
        <v>1748</v>
      </c>
      <c r="B988" s="1" t="s">
        <v>16</v>
      </c>
      <c r="C988" s="1" t="s">
        <v>35</v>
      </c>
      <c r="D988" s="6" t="s">
        <v>600</v>
      </c>
      <c r="E988" s="6" t="s">
        <v>923</v>
      </c>
      <c r="F988" s="6">
        <v>48.0</v>
      </c>
      <c r="G988" s="1" t="s">
        <v>14</v>
      </c>
      <c r="H988" s="7">
        <f t="shared" ref="H988:I988" si="989">DATE(MID(D988,7,4), MID(D988,4,2), LEFT(D988,2)) + TIMEVALUE(MID(D988,12,5))
</f>
        <v>46044</v>
      </c>
      <c r="I988" s="7">
        <f t="shared" si="989"/>
        <v>46047.45833</v>
      </c>
      <c r="J988" s="4">
        <f t="shared" si="3"/>
        <v>83</v>
      </c>
      <c r="K988" s="4" t="str">
        <f t="shared" si="4"/>
        <v>Breached</v>
      </c>
    </row>
    <row r="989">
      <c r="A989" s="1" t="s">
        <v>1749</v>
      </c>
      <c r="B989" s="1" t="s">
        <v>23</v>
      </c>
      <c r="C989" s="1" t="s">
        <v>12</v>
      </c>
      <c r="D989" s="6" t="s">
        <v>1505</v>
      </c>
      <c r="E989" s="6" t="s">
        <v>771</v>
      </c>
      <c r="F989" s="6">
        <v>72.0</v>
      </c>
      <c r="G989" s="1" t="s">
        <v>14</v>
      </c>
      <c r="H989" s="7">
        <f t="shared" ref="H989:I989" si="990">DATE(MID(D989,7,4), MID(D989,4,2), LEFT(D989,2)) + TIMEVALUE(MID(D989,12,5))
</f>
        <v>46036.83333</v>
      </c>
      <c r="I989" s="7">
        <f t="shared" si="990"/>
        <v>46038.20833</v>
      </c>
      <c r="J989" s="4">
        <f t="shared" si="3"/>
        <v>33</v>
      </c>
      <c r="K989" s="4" t="str">
        <f t="shared" si="4"/>
        <v>Within SLA</v>
      </c>
    </row>
    <row r="990">
      <c r="A990" s="1" t="s">
        <v>1750</v>
      </c>
      <c r="B990" s="1" t="s">
        <v>16</v>
      </c>
      <c r="C990" s="1" t="s">
        <v>19</v>
      </c>
      <c r="D990" s="6" t="s">
        <v>93</v>
      </c>
      <c r="E990" s="6" t="s">
        <v>1751</v>
      </c>
      <c r="F990" s="6">
        <v>24.0</v>
      </c>
      <c r="G990" s="1" t="s">
        <v>14</v>
      </c>
      <c r="H990" s="7">
        <f t="shared" ref="H990:I990" si="991">DATE(MID(D990,7,4), MID(D990,4,2), LEFT(D990,2)) + TIMEVALUE(MID(D990,12,5))
</f>
        <v>46099</v>
      </c>
      <c r="I990" s="7">
        <f t="shared" si="991"/>
        <v>46101.54167</v>
      </c>
      <c r="J990" s="4">
        <f t="shared" si="3"/>
        <v>61</v>
      </c>
      <c r="K990" s="4" t="str">
        <f t="shared" si="4"/>
        <v>Breached</v>
      </c>
    </row>
    <row r="991">
      <c r="A991" s="1" t="s">
        <v>1752</v>
      </c>
      <c r="B991" s="1" t="s">
        <v>11</v>
      </c>
      <c r="C991" s="1" t="s">
        <v>19</v>
      </c>
      <c r="D991" s="5">
        <v>46083.25</v>
      </c>
      <c r="E991" s="5">
        <v>46114.125</v>
      </c>
      <c r="F991" s="6">
        <v>24.0</v>
      </c>
      <c r="G991" s="1" t="s">
        <v>14</v>
      </c>
      <c r="H991" s="7">
        <f t="shared" ref="H991:I991" si="992">DATE(MID(D991,7,4), MID(D991,4,2), LEFT(D991,2)) + TIMEVALUE(MID(D991,12,5))
</f>
        <v>46056.25</v>
      </c>
      <c r="I991" s="7">
        <f t="shared" si="992"/>
        <v>46057.125</v>
      </c>
      <c r="J991" s="4">
        <f t="shared" si="3"/>
        <v>21</v>
      </c>
      <c r="K991" s="4" t="str">
        <f t="shared" si="4"/>
        <v>Within SLA</v>
      </c>
    </row>
    <row r="992">
      <c r="A992" s="1" t="s">
        <v>1753</v>
      </c>
      <c r="B992" s="1" t="s">
        <v>23</v>
      </c>
      <c r="C992" s="1" t="s">
        <v>19</v>
      </c>
      <c r="D992" s="6" t="s">
        <v>1177</v>
      </c>
      <c r="E992" s="5">
        <v>46084.416666666664</v>
      </c>
      <c r="F992" s="6">
        <v>24.0</v>
      </c>
      <c r="G992" s="1" t="s">
        <v>14</v>
      </c>
      <c r="H992" s="7">
        <f t="shared" ref="H992:I992" si="993">DATE(MID(D992,7,4), MID(D992,4,2), LEFT(D992,2)) + TIMEVALUE(MID(D992,12,5))
</f>
        <v>46080.54167</v>
      </c>
      <c r="I992" s="7">
        <f t="shared" si="993"/>
        <v>46084.41667</v>
      </c>
      <c r="J992" s="4">
        <f t="shared" si="3"/>
        <v>93</v>
      </c>
      <c r="K992" s="4" t="str">
        <f t="shared" si="4"/>
        <v>Breached</v>
      </c>
    </row>
    <row r="993">
      <c r="A993" s="1" t="s">
        <v>1754</v>
      </c>
      <c r="B993" s="1" t="s">
        <v>23</v>
      </c>
      <c r="C993" s="1" t="s">
        <v>12</v>
      </c>
      <c r="D993" s="6" t="s">
        <v>74</v>
      </c>
      <c r="E993" s="6" t="s">
        <v>957</v>
      </c>
      <c r="F993" s="6">
        <v>72.0</v>
      </c>
      <c r="G993" s="1" t="s">
        <v>14</v>
      </c>
      <c r="H993" s="7">
        <f t="shared" ref="H993:I993" si="994">DATE(MID(D993,7,4), MID(D993,4,2), LEFT(D993,2)) + TIMEVALUE(MID(D993,12,5))
</f>
        <v>46073.83333</v>
      </c>
      <c r="I993" s="7">
        <f t="shared" si="994"/>
        <v>46076.20833</v>
      </c>
      <c r="J993" s="4">
        <f t="shared" si="3"/>
        <v>57</v>
      </c>
      <c r="K993" s="4" t="str">
        <f t="shared" si="4"/>
        <v>Within SLA</v>
      </c>
    </row>
    <row r="994">
      <c r="A994" s="1" t="s">
        <v>1755</v>
      </c>
      <c r="B994" s="1" t="s">
        <v>11</v>
      </c>
      <c r="C994" s="1" t="s">
        <v>12</v>
      </c>
      <c r="D994" s="5">
        <v>46206.0</v>
      </c>
      <c r="E994" s="5">
        <v>46237.375</v>
      </c>
      <c r="F994" s="6">
        <v>72.0</v>
      </c>
      <c r="G994" s="1" t="s">
        <v>14</v>
      </c>
      <c r="H994" s="7">
        <f t="shared" ref="H994:I994" si="995">DATE(MID(D994,7,4), MID(D994,4,2), LEFT(D994,2)) + TIMEVALUE(MID(D994,12,5))
</f>
        <v>46088</v>
      </c>
      <c r="I994" s="7">
        <f t="shared" si="995"/>
        <v>46089.375</v>
      </c>
      <c r="J994" s="4">
        <f t="shared" si="3"/>
        <v>33</v>
      </c>
      <c r="K994" s="4" t="str">
        <f t="shared" si="4"/>
        <v>Within SLA</v>
      </c>
    </row>
    <row r="995">
      <c r="A995" s="1" t="s">
        <v>1756</v>
      </c>
      <c r="B995" s="1" t="s">
        <v>11</v>
      </c>
      <c r="C995" s="1" t="s">
        <v>19</v>
      </c>
      <c r="D995" s="5">
        <v>46054.166666666664</v>
      </c>
      <c r="E995" s="5">
        <v>46082.583333333336</v>
      </c>
      <c r="F995" s="6">
        <v>24.0</v>
      </c>
      <c r="G995" s="1" t="s">
        <v>14</v>
      </c>
      <c r="H995" s="7">
        <f t="shared" ref="H995:I995" si="996">DATE(MID(D995,7,4), MID(D995,4,2), LEFT(D995,2)) + TIMEVALUE(MID(D995,12,5))
</f>
        <v>46024.16667</v>
      </c>
      <c r="I995" s="7">
        <f t="shared" si="996"/>
        <v>46025.58333</v>
      </c>
      <c r="J995" s="4">
        <f t="shared" si="3"/>
        <v>34</v>
      </c>
      <c r="K995" s="4" t="str">
        <f t="shared" si="4"/>
        <v>Breached</v>
      </c>
    </row>
    <row r="996">
      <c r="A996" s="1" t="s">
        <v>1757</v>
      </c>
      <c r="B996" s="1" t="s">
        <v>16</v>
      </c>
      <c r="C996" s="1" t="s">
        <v>12</v>
      </c>
      <c r="D996" s="6" t="s">
        <v>1758</v>
      </c>
      <c r="E996" s="6" t="s">
        <v>1759</v>
      </c>
      <c r="F996" s="6">
        <v>72.0</v>
      </c>
      <c r="G996" s="1" t="s">
        <v>14</v>
      </c>
      <c r="H996" s="7">
        <f t="shared" ref="H996:I996" si="997">DATE(MID(D996,7,4), MID(D996,4,2), LEFT(D996,2)) + TIMEVALUE(MID(D996,12,5))
</f>
        <v>46079.375</v>
      </c>
      <c r="I996" s="7">
        <f t="shared" si="997"/>
        <v>46080.875</v>
      </c>
      <c r="J996" s="4">
        <f t="shared" si="3"/>
        <v>36</v>
      </c>
      <c r="K996" s="4" t="str">
        <f t="shared" si="4"/>
        <v>Within SLA</v>
      </c>
    </row>
    <row r="997">
      <c r="A997" s="1" t="s">
        <v>1760</v>
      </c>
      <c r="B997" s="1" t="s">
        <v>34</v>
      </c>
      <c r="C997" s="1" t="s">
        <v>12</v>
      </c>
      <c r="D997" s="6" t="s">
        <v>1735</v>
      </c>
      <c r="E997" s="6" t="s">
        <v>1148</v>
      </c>
      <c r="F997" s="6">
        <v>72.0</v>
      </c>
      <c r="G997" s="1" t="s">
        <v>14</v>
      </c>
      <c r="H997" s="7">
        <f t="shared" ref="H997:I997" si="998">DATE(MID(D997,7,4), MID(D997,4,2), LEFT(D997,2)) + TIMEVALUE(MID(D997,12,5))
</f>
        <v>46080.29167</v>
      </c>
      <c r="I997" s="7">
        <f t="shared" si="998"/>
        <v>46080.95833</v>
      </c>
      <c r="J997" s="4">
        <f t="shared" si="3"/>
        <v>16</v>
      </c>
      <c r="K997" s="4" t="str">
        <f t="shared" si="4"/>
        <v>Within SLA</v>
      </c>
    </row>
    <row r="998">
      <c r="A998" s="1" t="s">
        <v>1761</v>
      </c>
      <c r="B998" s="1" t="s">
        <v>23</v>
      </c>
      <c r="C998" s="1" t="s">
        <v>35</v>
      </c>
      <c r="D998" s="5">
        <v>46298.208333333336</v>
      </c>
      <c r="E998" s="6" t="s">
        <v>936</v>
      </c>
      <c r="F998" s="6">
        <v>48.0</v>
      </c>
      <c r="G998" s="1" t="s">
        <v>14</v>
      </c>
      <c r="H998" s="7">
        <f t="shared" ref="H998:I998" si="999">DATE(MID(D998,7,4), MID(D998,4,2), LEFT(D998,2)) + TIMEVALUE(MID(D998,12,5))
</f>
        <v>46091.20833</v>
      </c>
      <c r="I998" s="7">
        <f t="shared" si="999"/>
        <v>46094.45833</v>
      </c>
      <c r="J998" s="4">
        <f t="shared" si="3"/>
        <v>78</v>
      </c>
      <c r="K998" s="4" t="str">
        <f t="shared" si="4"/>
        <v>Breached</v>
      </c>
    </row>
    <row r="999">
      <c r="A999" s="1" t="s">
        <v>1762</v>
      </c>
      <c r="B999" s="1" t="s">
        <v>18</v>
      </c>
      <c r="C999" s="1" t="s">
        <v>12</v>
      </c>
      <c r="D999" s="5">
        <v>46114.791666666664</v>
      </c>
      <c r="E999" s="5">
        <v>46205.833333333336</v>
      </c>
      <c r="F999" s="6">
        <v>72.0</v>
      </c>
      <c r="G999" s="1" t="s">
        <v>14</v>
      </c>
      <c r="H999" s="7">
        <f t="shared" ref="H999:I999" si="1000">DATE(MID(D999,7,4), MID(D999,4,2), LEFT(D999,2)) + TIMEVALUE(MID(D999,12,5))
</f>
        <v>46057.79167</v>
      </c>
      <c r="I999" s="7">
        <f t="shared" si="1000"/>
        <v>46060.83333</v>
      </c>
      <c r="J999" s="4">
        <f t="shared" si="3"/>
        <v>73</v>
      </c>
      <c r="K999" s="4" t="str">
        <f t="shared" si="4"/>
        <v>Breached</v>
      </c>
    </row>
    <row r="1000">
      <c r="A1000" s="1" t="s">
        <v>1763</v>
      </c>
      <c r="B1000" s="1" t="s">
        <v>16</v>
      </c>
      <c r="C1000" s="1" t="s">
        <v>12</v>
      </c>
      <c r="D1000" s="5">
        <v>46082.916666666664</v>
      </c>
      <c r="E1000" s="5">
        <v>46113.625</v>
      </c>
      <c r="F1000" s="6">
        <v>72.0</v>
      </c>
      <c r="G1000" s="1" t="s">
        <v>14</v>
      </c>
      <c r="H1000" s="7">
        <f t="shared" ref="H1000:I1000" si="1001">DATE(MID(D1000,7,4), MID(D1000,4,2), LEFT(D1000,2)) + TIMEVALUE(MID(D1000,12,5))
</f>
        <v>46025.91667</v>
      </c>
      <c r="I1000" s="7">
        <f t="shared" si="1001"/>
        <v>46026.625</v>
      </c>
      <c r="J1000" s="4">
        <f t="shared" si="3"/>
        <v>17</v>
      </c>
      <c r="K1000" s="4" t="str">
        <f t="shared" si="4"/>
        <v>Within SLA</v>
      </c>
    </row>
    <row r="1001">
      <c r="A1001" s="1" t="s">
        <v>1764</v>
      </c>
      <c r="B1001" s="1" t="s">
        <v>23</v>
      </c>
      <c r="C1001" s="1" t="s">
        <v>19</v>
      </c>
      <c r="D1001" s="5">
        <v>46025.25</v>
      </c>
      <c r="E1001" s="5">
        <v>46115.375</v>
      </c>
      <c r="F1001" s="6">
        <v>24.0</v>
      </c>
      <c r="G1001" s="1" t="s">
        <v>14</v>
      </c>
      <c r="H1001" s="7">
        <f t="shared" ref="H1001:I1001" si="1002">DATE(MID(D1001,7,4), MID(D1001,4,2), LEFT(D1001,2)) + TIMEVALUE(MID(D1001,12,5))
</f>
        <v>46082.25</v>
      </c>
      <c r="I1001" s="7">
        <f t="shared" si="1002"/>
        <v>46085.375</v>
      </c>
      <c r="J1001" s="4">
        <f t="shared" si="3"/>
        <v>75</v>
      </c>
      <c r="K1001" s="4" t="str">
        <f t="shared" si="4"/>
        <v>Breached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8.25"/>
    <col customWidth="1" min="3" max="3" width="34.38"/>
    <col customWidth="1" min="4" max="4" width="10.25"/>
    <col customWidth="1" min="5" max="5" width="34.38"/>
    <col customWidth="1" min="6" max="6" width="10.25"/>
    <col customWidth="1" min="7" max="7" width="34.38"/>
    <col customWidth="1" min="8" max="8" width="33.0"/>
  </cols>
  <sheetData>
    <row r="1">
      <c r="E1" s="9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>
      <c r="E2" s="11" t="s">
        <v>1769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>
      <c r="E3" s="9">
        <f t="shared" ref="E3:E7" si="1">B3/D3</f>
        <v>0.5570175439</v>
      </c>
      <c r="F3" s="12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>
      <c r="E4" s="9">
        <f t="shared" si="1"/>
        <v>0.5357142857</v>
      </c>
      <c r="F4" s="10"/>
      <c r="G4" s="10"/>
      <c r="H4" s="13" t="s">
        <v>1770</v>
      </c>
      <c r="O4" s="10"/>
      <c r="P4" s="10"/>
      <c r="Q4" s="10"/>
    </row>
    <row r="5">
      <c r="E5" s="9">
        <f t="shared" si="1"/>
        <v>0.5336787565</v>
      </c>
      <c r="F5" s="10"/>
      <c r="G5" s="10"/>
      <c r="O5" s="10"/>
      <c r="P5" s="10"/>
      <c r="Q5" s="10"/>
    </row>
    <row r="6">
      <c r="E6" s="9">
        <f t="shared" si="1"/>
        <v>0.532967033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>
      <c r="E7" s="9">
        <f t="shared" si="1"/>
        <v>0.552238806</v>
      </c>
      <c r="F7" s="10"/>
      <c r="G7" s="14" t="s">
        <v>1771</v>
      </c>
      <c r="H7" s="10"/>
      <c r="I7" s="15" t="s">
        <v>1772</v>
      </c>
      <c r="L7" s="10"/>
      <c r="M7" s="16" t="s">
        <v>1773</v>
      </c>
      <c r="P7" s="10"/>
      <c r="Q7" s="10"/>
    </row>
    <row r="8">
      <c r="E8" s="9"/>
      <c r="F8" s="10"/>
      <c r="H8" s="10"/>
      <c r="L8" s="10"/>
      <c r="P8" s="10"/>
      <c r="Q8" s="10"/>
    </row>
    <row r="9">
      <c r="A9" s="8"/>
      <c r="B9" s="8"/>
      <c r="C9" s="8"/>
      <c r="D9" s="8"/>
      <c r="E9" s="9"/>
      <c r="F9" s="10"/>
      <c r="H9" s="10"/>
      <c r="L9" s="10"/>
      <c r="P9" s="10"/>
      <c r="Q9" s="10"/>
    </row>
    <row r="10">
      <c r="A10" s="8"/>
      <c r="B10" s="8"/>
      <c r="C10" s="8"/>
      <c r="D10" s="8"/>
      <c r="E10" s="9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</row>
    <row r="11">
      <c r="A11" s="8"/>
      <c r="B11" s="8"/>
      <c r="C11" s="8"/>
      <c r="D11" s="8"/>
      <c r="E11" s="9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>
      <c r="A12" s="8"/>
      <c r="B12" s="8"/>
      <c r="C12" s="8"/>
      <c r="D12" s="8"/>
      <c r="E12" s="9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>
      <c r="A13" s="8"/>
      <c r="B13" s="8"/>
      <c r="C13" s="8"/>
      <c r="D13" s="8"/>
      <c r="E13" s="9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>
      <c r="A14" s="8"/>
      <c r="B14" s="8"/>
      <c r="C14" s="8"/>
      <c r="D14" s="8"/>
      <c r="E14" s="9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>
      <c r="A15" s="8"/>
      <c r="B15" s="8"/>
      <c r="C15" s="8"/>
      <c r="D15" s="8"/>
      <c r="E15" s="9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</row>
    <row r="16">
      <c r="A16" s="8"/>
      <c r="B16" s="8"/>
      <c r="C16" s="8"/>
      <c r="D16" s="8"/>
      <c r="E16" s="9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>
      <c r="A17" s="8"/>
      <c r="B17" s="8"/>
      <c r="C17" s="8"/>
      <c r="D17" s="8"/>
      <c r="E17" s="9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</row>
    <row r="18">
      <c r="A18" s="8"/>
      <c r="B18" s="8"/>
      <c r="C18" s="8"/>
      <c r="D18" s="8"/>
      <c r="E18" s="9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>
      <c r="A19" s="8"/>
      <c r="B19" s="8"/>
      <c r="C19" s="8"/>
      <c r="D19" s="8"/>
      <c r="E19" s="9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>
      <c r="A20" s="8"/>
      <c r="B20" s="8"/>
      <c r="C20" s="8"/>
      <c r="D20" s="8"/>
      <c r="E20" s="9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</row>
    <row r="21">
      <c r="A21" s="8"/>
      <c r="B21" s="8"/>
      <c r="C21" s="8"/>
      <c r="D21" s="8"/>
      <c r="E21" s="9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</row>
    <row r="22">
      <c r="A22" s="8"/>
      <c r="B22" s="8"/>
      <c r="C22" s="8"/>
      <c r="D22" s="8"/>
      <c r="E22" s="9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</row>
    <row r="23">
      <c r="A23" s="8"/>
      <c r="B23" s="8"/>
      <c r="C23" s="8"/>
      <c r="D23" s="8"/>
      <c r="E23" s="9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</row>
    <row r="24">
      <c r="A24" s="8"/>
      <c r="B24" s="8"/>
      <c r="C24" s="8"/>
      <c r="D24" s="8"/>
      <c r="E24" s="9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</row>
    <row r="25">
      <c r="A25" s="8"/>
      <c r="B25" s="8"/>
      <c r="C25" s="8"/>
      <c r="D25" s="8"/>
      <c r="E25" s="9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</row>
    <row r="26">
      <c r="A26" s="8"/>
      <c r="B26" s="8"/>
      <c r="C26" s="8"/>
      <c r="D26" s="8"/>
      <c r="E26" s="9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</row>
    <row r="27">
      <c r="A27" s="8"/>
      <c r="B27" s="8"/>
      <c r="C27" s="8"/>
      <c r="D27" s="8"/>
      <c r="E27" s="9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</row>
    <row r="28">
      <c r="A28" s="8"/>
      <c r="B28" s="8"/>
      <c r="C28" s="8"/>
      <c r="D28" s="8"/>
      <c r="E28" s="9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</row>
    <row r="29">
      <c r="A29" s="8"/>
      <c r="B29" s="8"/>
      <c r="C29" s="8"/>
      <c r="D29" s="8"/>
      <c r="E29" s="9"/>
      <c r="F29" s="10"/>
      <c r="G29" s="10"/>
      <c r="H29" s="10"/>
      <c r="I29" s="10"/>
      <c r="J29" s="10"/>
      <c r="K29" s="10"/>
      <c r="L29" s="17" t="s">
        <v>1774</v>
      </c>
      <c r="M29" s="18"/>
      <c r="N29" s="18"/>
      <c r="O29" s="18"/>
      <c r="P29" s="18"/>
      <c r="Q29" s="19"/>
    </row>
    <row r="30">
      <c r="A30" s="8"/>
      <c r="B30" s="8"/>
      <c r="C30" s="8"/>
      <c r="D30" s="8"/>
      <c r="E30" s="9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</row>
    <row r="31">
      <c r="A31" s="8"/>
      <c r="B31" s="8"/>
      <c r="C31" s="8"/>
      <c r="D31" s="8"/>
      <c r="E31" s="9"/>
      <c r="F31" s="10"/>
      <c r="K31" s="22"/>
      <c r="L31" s="10"/>
      <c r="M31" s="10"/>
      <c r="N31" s="10"/>
      <c r="O31" s="10"/>
      <c r="P31" s="10"/>
      <c r="Q31" s="10"/>
    </row>
    <row r="32">
      <c r="A32" s="8"/>
      <c r="B32" s="8"/>
      <c r="C32" s="8"/>
      <c r="D32" s="8"/>
      <c r="E32" s="9"/>
      <c r="F32" s="10"/>
      <c r="K32" s="24" t="s">
        <v>1769</v>
      </c>
      <c r="L32" s="10"/>
      <c r="M32" s="10"/>
      <c r="N32" s="10"/>
      <c r="O32" s="10"/>
      <c r="P32" s="10"/>
      <c r="Q32" s="10"/>
    </row>
    <row r="33">
      <c r="A33" s="8"/>
      <c r="B33" s="8"/>
      <c r="C33" s="8"/>
      <c r="D33" s="8"/>
      <c r="E33" s="9"/>
      <c r="F33" s="10"/>
      <c r="K33" s="26">
        <f t="shared" ref="K33:K37" si="2">H33/J33</f>
        <v>0.5570175439</v>
      </c>
      <c r="L33" s="10"/>
      <c r="M33" s="10"/>
      <c r="N33" s="10"/>
      <c r="O33" s="10"/>
      <c r="P33" s="10"/>
      <c r="Q33" s="10"/>
    </row>
    <row r="34">
      <c r="A34" s="8"/>
      <c r="B34" s="8"/>
      <c r="C34" s="8"/>
      <c r="D34" s="8"/>
      <c r="E34" s="9"/>
      <c r="F34" s="10"/>
      <c r="K34" s="26">
        <f t="shared" si="2"/>
        <v>0.5357142857</v>
      </c>
      <c r="L34" s="10"/>
      <c r="M34" s="10"/>
      <c r="N34" s="10"/>
      <c r="O34" s="10"/>
      <c r="P34" s="10"/>
      <c r="Q34" s="10"/>
    </row>
    <row r="35">
      <c r="A35" s="8"/>
      <c r="B35" s="8"/>
      <c r="C35" s="8"/>
      <c r="D35" s="8"/>
      <c r="E35" s="9"/>
      <c r="F35" s="10"/>
      <c r="K35" s="26">
        <f t="shared" si="2"/>
        <v>0.5336787565</v>
      </c>
      <c r="L35" s="10"/>
      <c r="M35" s="10"/>
      <c r="N35" s="10"/>
      <c r="O35" s="10"/>
      <c r="P35" s="10"/>
      <c r="Q35" s="10"/>
    </row>
    <row r="36">
      <c r="A36" s="8"/>
      <c r="B36" s="8"/>
      <c r="C36" s="8"/>
      <c r="D36" s="8"/>
      <c r="E36" s="9"/>
      <c r="F36" s="10"/>
      <c r="K36" s="26">
        <f t="shared" si="2"/>
        <v>0.532967033</v>
      </c>
      <c r="L36" s="10"/>
      <c r="M36" s="10"/>
      <c r="N36" s="10"/>
      <c r="O36" s="10"/>
      <c r="P36" s="10"/>
      <c r="Q36" s="10"/>
    </row>
    <row r="37">
      <c r="A37" s="8"/>
      <c r="B37" s="8"/>
      <c r="C37" s="8"/>
      <c r="D37" s="8"/>
      <c r="E37" s="9"/>
      <c r="F37" s="10"/>
      <c r="K37" s="26">
        <f t="shared" si="2"/>
        <v>0.552238806</v>
      </c>
      <c r="L37" s="10"/>
      <c r="M37" s="10"/>
      <c r="N37" s="10"/>
      <c r="O37" s="10"/>
      <c r="P37" s="10"/>
      <c r="Q37" s="10"/>
    </row>
    <row r="38">
      <c r="A38" s="8"/>
      <c r="B38" s="8"/>
      <c r="C38" s="8"/>
      <c r="D38" s="8"/>
      <c r="E38" s="9"/>
      <c r="F38" s="10"/>
      <c r="K38" s="22"/>
      <c r="L38" s="10"/>
      <c r="M38" s="10"/>
      <c r="N38" s="10"/>
      <c r="O38" s="10"/>
      <c r="P38" s="10"/>
      <c r="Q38" s="10"/>
    </row>
    <row r="39">
      <c r="A39" s="8"/>
      <c r="B39" s="8"/>
      <c r="C39" s="8"/>
      <c r="D39" s="8"/>
      <c r="E39" s="9"/>
      <c r="F39" s="10"/>
      <c r="G39" s="25"/>
      <c r="H39" s="25"/>
      <c r="I39" s="25"/>
      <c r="J39" s="25"/>
      <c r="K39" s="22"/>
      <c r="L39" s="10"/>
      <c r="M39" s="10"/>
      <c r="N39" s="10"/>
      <c r="O39" s="10"/>
      <c r="P39" s="10"/>
      <c r="Q39" s="10"/>
    </row>
    <row r="40">
      <c r="A40" s="8"/>
      <c r="B40" s="8"/>
      <c r="C40" s="8"/>
      <c r="D40" s="8"/>
      <c r="E40" s="9"/>
    </row>
    <row r="41">
      <c r="A41" s="8"/>
      <c r="B41" s="8"/>
      <c r="C41" s="8"/>
      <c r="D41" s="8"/>
      <c r="E41" s="9"/>
    </row>
    <row r="42">
      <c r="A42" s="8"/>
      <c r="B42" s="8"/>
      <c r="C42" s="8"/>
      <c r="D42" s="8"/>
      <c r="E42" s="9"/>
    </row>
    <row r="43">
      <c r="A43" s="8"/>
      <c r="B43" s="8"/>
      <c r="C43" s="8"/>
      <c r="D43" s="8"/>
      <c r="E43" s="9"/>
    </row>
    <row r="44">
      <c r="A44" s="8"/>
      <c r="B44" s="8"/>
      <c r="C44" s="8"/>
      <c r="D44" s="8"/>
      <c r="E44" s="9"/>
    </row>
    <row r="45">
      <c r="A45" s="8"/>
      <c r="B45" s="8"/>
      <c r="C45" s="8"/>
      <c r="D45" s="8"/>
      <c r="E45" s="9"/>
    </row>
    <row r="46">
      <c r="A46" s="8"/>
      <c r="B46" s="8"/>
      <c r="C46" s="8"/>
      <c r="D46" s="8"/>
      <c r="E46" s="9"/>
    </row>
    <row r="47">
      <c r="A47" s="8"/>
      <c r="B47" s="8"/>
      <c r="C47" s="8"/>
      <c r="D47" s="8"/>
      <c r="E47" s="9"/>
    </row>
    <row r="48">
      <c r="A48" s="8"/>
      <c r="B48" s="8"/>
      <c r="C48" s="8"/>
      <c r="D48" s="8"/>
      <c r="E48" s="9"/>
    </row>
    <row r="49">
      <c r="A49" s="8"/>
      <c r="B49" s="8"/>
      <c r="C49" s="8"/>
      <c r="D49" s="8"/>
      <c r="E49" s="9"/>
    </row>
    <row r="50">
      <c r="A50" s="8"/>
      <c r="B50" s="8"/>
      <c r="C50" s="8"/>
      <c r="D50" s="8"/>
      <c r="E50" s="9"/>
    </row>
    <row r="51">
      <c r="A51" s="8"/>
      <c r="B51" s="8"/>
      <c r="C51" s="8"/>
      <c r="D51" s="8"/>
      <c r="E51" s="9"/>
    </row>
    <row r="52">
      <c r="A52" s="8"/>
      <c r="B52" s="8"/>
      <c r="C52" s="8"/>
      <c r="D52" s="8"/>
      <c r="E52" s="9"/>
    </row>
    <row r="53">
      <c r="A53" s="8"/>
      <c r="B53" s="8"/>
      <c r="C53" s="8"/>
      <c r="D53" s="8"/>
      <c r="E53" s="9"/>
    </row>
    <row r="54">
      <c r="A54" s="8"/>
      <c r="B54" s="8"/>
      <c r="C54" s="8"/>
      <c r="D54" s="8"/>
      <c r="E54" s="9"/>
    </row>
    <row r="55">
      <c r="A55" s="8"/>
      <c r="B55" s="8"/>
      <c r="C55" s="8"/>
      <c r="D55" s="8"/>
      <c r="E55" s="9"/>
    </row>
    <row r="56">
      <c r="A56" s="8"/>
      <c r="B56" s="8"/>
      <c r="C56" s="8"/>
      <c r="D56" s="8"/>
      <c r="E56" s="9"/>
    </row>
    <row r="57">
      <c r="A57" s="8"/>
      <c r="B57" s="8"/>
      <c r="C57" s="8"/>
      <c r="D57" s="8"/>
      <c r="E57" s="9"/>
    </row>
    <row r="58">
      <c r="A58" s="8"/>
      <c r="B58" s="8"/>
      <c r="C58" s="8"/>
      <c r="D58" s="8"/>
      <c r="E58" s="9"/>
    </row>
    <row r="59">
      <c r="A59" s="8"/>
      <c r="B59" s="8"/>
      <c r="C59" s="8"/>
      <c r="D59" s="8"/>
      <c r="E59" s="9"/>
    </row>
    <row r="60">
      <c r="A60" s="8"/>
      <c r="B60" s="8"/>
      <c r="C60" s="8"/>
      <c r="D60" s="8"/>
      <c r="E60" s="9"/>
    </row>
    <row r="61">
      <c r="A61" s="8"/>
      <c r="B61" s="8"/>
      <c r="C61" s="8"/>
      <c r="D61" s="8"/>
      <c r="E61" s="9"/>
    </row>
    <row r="62">
      <c r="A62" s="8"/>
      <c r="B62" s="8"/>
      <c r="C62" s="8"/>
      <c r="D62" s="8"/>
      <c r="E62" s="9"/>
    </row>
    <row r="63">
      <c r="A63" s="8"/>
      <c r="B63" s="8"/>
      <c r="C63" s="8"/>
      <c r="D63" s="8"/>
      <c r="E63" s="9"/>
    </row>
    <row r="64">
      <c r="A64" s="8"/>
      <c r="B64" s="8"/>
      <c r="C64" s="8"/>
      <c r="D64" s="8"/>
      <c r="E64" s="9"/>
    </row>
    <row r="65">
      <c r="A65" s="8"/>
      <c r="B65" s="8"/>
      <c r="C65" s="8"/>
      <c r="D65" s="8"/>
      <c r="E65" s="9"/>
    </row>
    <row r="66">
      <c r="A66" s="8"/>
      <c r="B66" s="8"/>
      <c r="C66" s="8"/>
      <c r="D66" s="8"/>
      <c r="E66" s="9"/>
    </row>
    <row r="67">
      <c r="A67" s="8"/>
      <c r="B67" s="8"/>
      <c r="C67" s="8"/>
      <c r="D67" s="8"/>
      <c r="E67" s="9"/>
    </row>
    <row r="68">
      <c r="A68" s="8"/>
      <c r="B68" s="8"/>
      <c r="C68" s="8"/>
      <c r="D68" s="8"/>
      <c r="E68" s="9"/>
    </row>
    <row r="69">
      <c r="A69" s="8"/>
      <c r="B69" s="8"/>
      <c r="C69" s="8"/>
      <c r="D69" s="8"/>
      <c r="E69" s="9"/>
    </row>
    <row r="70">
      <c r="A70" s="8"/>
      <c r="B70" s="8"/>
      <c r="C70" s="8"/>
      <c r="D70" s="8"/>
      <c r="E70" s="9"/>
    </row>
    <row r="71">
      <c r="A71" s="8"/>
      <c r="B71" s="8"/>
      <c r="C71" s="8"/>
      <c r="D71" s="8"/>
      <c r="E71" s="9"/>
    </row>
    <row r="72">
      <c r="A72" s="8"/>
      <c r="B72" s="8"/>
      <c r="C72" s="8"/>
      <c r="D72" s="8"/>
      <c r="E72" s="9"/>
    </row>
    <row r="73">
      <c r="A73" s="8"/>
      <c r="B73" s="8"/>
      <c r="C73" s="8"/>
      <c r="D73" s="8"/>
      <c r="E73" s="9"/>
    </row>
    <row r="74">
      <c r="A74" s="8"/>
      <c r="B74" s="8"/>
      <c r="C74" s="8"/>
      <c r="D74" s="8"/>
      <c r="E74" s="9"/>
    </row>
    <row r="75">
      <c r="A75" s="8"/>
      <c r="B75" s="8"/>
      <c r="C75" s="8"/>
      <c r="D75" s="8"/>
      <c r="E75" s="9"/>
    </row>
    <row r="76">
      <c r="A76" s="8"/>
      <c r="B76" s="8"/>
      <c r="C76" s="8"/>
      <c r="D76" s="8"/>
      <c r="E76" s="9"/>
    </row>
    <row r="77">
      <c r="A77" s="8"/>
      <c r="B77" s="8"/>
      <c r="C77" s="8"/>
      <c r="D77" s="8"/>
      <c r="E77" s="9"/>
    </row>
    <row r="78">
      <c r="A78" s="8"/>
      <c r="B78" s="8"/>
      <c r="C78" s="8"/>
      <c r="D78" s="8"/>
      <c r="E78" s="9"/>
    </row>
    <row r="79">
      <c r="A79" s="8"/>
      <c r="B79" s="8"/>
      <c r="C79" s="8"/>
      <c r="D79" s="8"/>
      <c r="E79" s="9"/>
    </row>
    <row r="80">
      <c r="A80" s="8"/>
      <c r="B80" s="8"/>
      <c r="C80" s="8"/>
      <c r="D80" s="8"/>
      <c r="E80" s="9"/>
    </row>
    <row r="81">
      <c r="A81" s="8"/>
      <c r="B81" s="8"/>
      <c r="C81" s="8"/>
      <c r="D81" s="8"/>
      <c r="E81" s="9"/>
    </row>
    <row r="82">
      <c r="A82" s="8"/>
      <c r="B82" s="8"/>
      <c r="C82" s="8"/>
      <c r="D82" s="8"/>
      <c r="E82" s="9"/>
    </row>
    <row r="83">
      <c r="A83" s="8"/>
      <c r="B83" s="8"/>
      <c r="C83" s="8"/>
      <c r="D83" s="8"/>
      <c r="E83" s="9"/>
    </row>
    <row r="84">
      <c r="A84" s="8"/>
      <c r="B84" s="8"/>
      <c r="C84" s="8"/>
      <c r="D84" s="8"/>
      <c r="E84" s="9"/>
    </row>
    <row r="85">
      <c r="A85" s="8"/>
      <c r="B85" s="8"/>
      <c r="C85" s="8"/>
      <c r="D85" s="8"/>
      <c r="E85" s="9"/>
    </row>
    <row r="86">
      <c r="A86" s="8"/>
      <c r="B86" s="8"/>
      <c r="C86" s="8"/>
      <c r="D86" s="8"/>
      <c r="E86" s="9"/>
    </row>
    <row r="87">
      <c r="A87" s="8"/>
      <c r="B87" s="8"/>
      <c r="C87" s="8"/>
      <c r="D87" s="8"/>
      <c r="E87" s="9"/>
    </row>
    <row r="88">
      <c r="A88" s="8"/>
      <c r="B88" s="8"/>
      <c r="C88" s="8"/>
      <c r="D88" s="8"/>
      <c r="E88" s="9"/>
    </row>
    <row r="89">
      <c r="A89" s="8"/>
      <c r="B89" s="8"/>
      <c r="C89" s="8"/>
      <c r="D89" s="8"/>
      <c r="E89" s="9"/>
    </row>
    <row r="90">
      <c r="A90" s="8"/>
      <c r="B90" s="8"/>
      <c r="C90" s="8"/>
      <c r="D90" s="8"/>
      <c r="E90" s="9"/>
    </row>
    <row r="91">
      <c r="A91" s="8"/>
      <c r="B91" s="8"/>
      <c r="C91" s="8"/>
      <c r="D91" s="8"/>
      <c r="E91" s="9"/>
    </row>
    <row r="92">
      <c r="A92" s="8"/>
      <c r="B92" s="8"/>
      <c r="C92" s="8"/>
      <c r="D92" s="8"/>
      <c r="E92" s="9"/>
    </row>
    <row r="93">
      <c r="A93" s="8"/>
      <c r="B93" s="8"/>
      <c r="C93" s="8"/>
      <c r="D93" s="8"/>
      <c r="E93" s="9"/>
    </row>
    <row r="94">
      <c r="A94" s="8"/>
      <c r="B94" s="8"/>
      <c r="C94" s="8"/>
      <c r="D94" s="8"/>
      <c r="E94" s="9"/>
    </row>
    <row r="95">
      <c r="A95" s="8"/>
      <c r="B95" s="8"/>
      <c r="C95" s="8"/>
      <c r="D95" s="8"/>
      <c r="E95" s="9"/>
    </row>
    <row r="96">
      <c r="A96" s="8"/>
      <c r="B96" s="8"/>
      <c r="C96" s="8"/>
      <c r="D96" s="8"/>
      <c r="E96" s="9"/>
    </row>
    <row r="97">
      <c r="A97" s="8"/>
      <c r="B97" s="8"/>
      <c r="C97" s="8"/>
      <c r="D97" s="8"/>
      <c r="E97" s="9"/>
    </row>
    <row r="98">
      <c r="A98" s="8"/>
      <c r="B98" s="8"/>
      <c r="C98" s="8"/>
      <c r="D98" s="8"/>
      <c r="E98" s="9"/>
    </row>
    <row r="99">
      <c r="A99" s="8"/>
      <c r="B99" s="8"/>
      <c r="C99" s="8"/>
      <c r="D99" s="8"/>
      <c r="E99" s="9"/>
    </row>
    <row r="100">
      <c r="A100" s="8"/>
      <c r="B100" s="8"/>
      <c r="C100" s="8"/>
      <c r="D100" s="8"/>
      <c r="E100" s="9"/>
    </row>
    <row r="101">
      <c r="A101" s="8"/>
      <c r="B101" s="8"/>
      <c r="C101" s="8"/>
      <c r="D101" s="8"/>
      <c r="E101" s="9"/>
    </row>
    <row r="102">
      <c r="A102" s="8"/>
      <c r="B102" s="8"/>
      <c r="C102" s="8"/>
      <c r="D102" s="8"/>
      <c r="E102" s="9"/>
    </row>
    <row r="103">
      <c r="A103" s="8"/>
      <c r="B103" s="8"/>
      <c r="C103" s="8"/>
      <c r="D103" s="8"/>
      <c r="E103" s="9"/>
    </row>
    <row r="104">
      <c r="A104" s="8"/>
      <c r="B104" s="8"/>
      <c r="C104" s="8"/>
      <c r="D104" s="8"/>
      <c r="E104" s="9"/>
    </row>
    <row r="105">
      <c r="A105" s="8"/>
      <c r="B105" s="8"/>
      <c r="C105" s="8"/>
      <c r="D105" s="8"/>
      <c r="E105" s="9"/>
    </row>
    <row r="106">
      <c r="A106" s="8"/>
      <c r="B106" s="8"/>
      <c r="C106" s="8"/>
      <c r="D106" s="8"/>
      <c r="E106" s="9"/>
    </row>
    <row r="107">
      <c r="A107" s="8"/>
      <c r="B107" s="8"/>
      <c r="C107" s="8"/>
      <c r="D107" s="8"/>
      <c r="E107" s="9"/>
    </row>
    <row r="108">
      <c r="A108" s="8"/>
      <c r="B108" s="8"/>
      <c r="C108" s="8"/>
      <c r="D108" s="8"/>
      <c r="E108" s="9"/>
    </row>
    <row r="109">
      <c r="A109" s="8"/>
      <c r="B109" s="8"/>
      <c r="C109" s="8"/>
      <c r="D109" s="8"/>
      <c r="E109" s="9"/>
    </row>
    <row r="110">
      <c r="A110" s="8"/>
      <c r="B110" s="8"/>
      <c r="C110" s="8"/>
      <c r="D110" s="8"/>
      <c r="E110" s="9"/>
    </row>
    <row r="111">
      <c r="A111" s="8"/>
      <c r="B111" s="8"/>
      <c r="C111" s="8"/>
      <c r="D111" s="8"/>
      <c r="E111" s="9"/>
    </row>
    <row r="112">
      <c r="A112" s="8"/>
      <c r="B112" s="8"/>
      <c r="C112" s="8"/>
      <c r="D112" s="8"/>
      <c r="E112" s="9"/>
    </row>
    <row r="113">
      <c r="A113" s="8"/>
      <c r="B113" s="8"/>
      <c r="C113" s="8"/>
      <c r="D113" s="8"/>
      <c r="E113" s="9"/>
    </row>
    <row r="114">
      <c r="A114" s="8"/>
      <c r="B114" s="8"/>
      <c r="C114" s="8"/>
      <c r="D114" s="8"/>
      <c r="E114" s="9"/>
    </row>
    <row r="115">
      <c r="A115" s="8"/>
      <c r="B115" s="8"/>
      <c r="C115" s="8"/>
      <c r="D115" s="8"/>
      <c r="E115" s="9"/>
    </row>
    <row r="116">
      <c r="A116" s="8"/>
      <c r="B116" s="8"/>
      <c r="C116" s="8"/>
      <c r="D116" s="8"/>
      <c r="E116" s="9"/>
    </row>
    <row r="117">
      <c r="A117" s="8"/>
      <c r="B117" s="8"/>
      <c r="C117" s="8"/>
      <c r="D117" s="8"/>
      <c r="E117" s="9"/>
    </row>
    <row r="118">
      <c r="A118" s="8"/>
      <c r="B118" s="8"/>
      <c r="C118" s="8"/>
      <c r="D118" s="8"/>
      <c r="E118" s="9"/>
    </row>
    <row r="119">
      <c r="A119" s="8"/>
      <c r="B119" s="8"/>
      <c r="C119" s="8"/>
      <c r="D119" s="8"/>
      <c r="E119" s="9"/>
    </row>
    <row r="120">
      <c r="A120" s="8"/>
      <c r="B120" s="8"/>
      <c r="C120" s="8"/>
      <c r="D120" s="8"/>
      <c r="E120" s="9"/>
    </row>
    <row r="121">
      <c r="A121" s="8"/>
      <c r="B121" s="8"/>
      <c r="C121" s="8"/>
      <c r="D121" s="8"/>
      <c r="E121" s="9"/>
    </row>
    <row r="122">
      <c r="A122" s="8"/>
      <c r="B122" s="8"/>
      <c r="C122" s="8"/>
      <c r="D122" s="8"/>
      <c r="E122" s="9"/>
    </row>
    <row r="123">
      <c r="A123" s="8"/>
      <c r="B123" s="8"/>
      <c r="C123" s="8"/>
      <c r="D123" s="8"/>
      <c r="E123" s="9"/>
    </row>
    <row r="124">
      <c r="A124" s="8"/>
      <c r="B124" s="8"/>
      <c r="C124" s="8"/>
      <c r="D124" s="8"/>
      <c r="E124" s="9"/>
    </row>
    <row r="125">
      <c r="A125" s="8"/>
      <c r="B125" s="8"/>
      <c r="C125" s="8"/>
      <c r="D125" s="8"/>
      <c r="E125" s="9"/>
    </row>
    <row r="126">
      <c r="A126" s="8"/>
      <c r="B126" s="8"/>
      <c r="C126" s="8"/>
      <c r="D126" s="8"/>
      <c r="E126" s="9"/>
    </row>
    <row r="127">
      <c r="A127" s="8"/>
      <c r="B127" s="8"/>
      <c r="C127" s="8"/>
      <c r="D127" s="8"/>
      <c r="E127" s="9"/>
    </row>
    <row r="128">
      <c r="A128" s="8"/>
      <c r="B128" s="8"/>
      <c r="C128" s="8"/>
      <c r="D128" s="8"/>
      <c r="E128" s="9"/>
    </row>
    <row r="129">
      <c r="A129" s="8"/>
      <c r="B129" s="8"/>
      <c r="C129" s="8"/>
      <c r="D129" s="8"/>
      <c r="E129" s="9"/>
    </row>
    <row r="130">
      <c r="A130" s="8"/>
      <c r="B130" s="8"/>
      <c r="C130" s="8"/>
      <c r="D130" s="8"/>
      <c r="E130" s="9"/>
    </row>
    <row r="131">
      <c r="A131" s="8"/>
      <c r="B131" s="8"/>
      <c r="C131" s="8"/>
      <c r="D131" s="8"/>
      <c r="E131" s="9"/>
    </row>
    <row r="132">
      <c r="A132" s="8"/>
      <c r="B132" s="8"/>
      <c r="C132" s="8"/>
      <c r="D132" s="8"/>
      <c r="E132" s="9"/>
    </row>
    <row r="133">
      <c r="A133" s="8"/>
      <c r="B133" s="8"/>
      <c r="C133" s="8"/>
      <c r="D133" s="8"/>
      <c r="E133" s="9"/>
    </row>
    <row r="134">
      <c r="A134" s="8"/>
      <c r="B134" s="8"/>
      <c r="C134" s="8"/>
      <c r="D134" s="8"/>
      <c r="E134" s="9"/>
    </row>
    <row r="135">
      <c r="A135" s="8"/>
      <c r="B135" s="8"/>
      <c r="C135" s="8"/>
      <c r="D135" s="8"/>
      <c r="E135" s="9"/>
    </row>
    <row r="136">
      <c r="A136" s="8"/>
      <c r="B136" s="8"/>
      <c r="C136" s="8"/>
      <c r="D136" s="8"/>
      <c r="E136" s="9"/>
    </row>
    <row r="137">
      <c r="A137" s="8"/>
      <c r="B137" s="8"/>
      <c r="C137" s="8"/>
      <c r="D137" s="8"/>
      <c r="E137" s="9"/>
    </row>
    <row r="138">
      <c r="A138" s="8"/>
      <c r="B138" s="8"/>
      <c r="C138" s="8"/>
      <c r="D138" s="8"/>
      <c r="E138" s="9"/>
    </row>
    <row r="139">
      <c r="A139" s="8"/>
      <c r="B139" s="8"/>
      <c r="C139" s="8"/>
      <c r="D139" s="8"/>
      <c r="E139" s="9"/>
    </row>
    <row r="140">
      <c r="A140" s="8"/>
      <c r="B140" s="8"/>
      <c r="C140" s="8"/>
      <c r="D140" s="8"/>
      <c r="E140" s="9"/>
    </row>
    <row r="141">
      <c r="A141" s="8"/>
      <c r="B141" s="8"/>
      <c r="C141" s="8"/>
      <c r="D141" s="8"/>
      <c r="E141" s="9"/>
    </row>
    <row r="142">
      <c r="A142" s="8"/>
      <c r="B142" s="8"/>
      <c r="C142" s="8"/>
      <c r="D142" s="8"/>
      <c r="E142" s="9"/>
    </row>
    <row r="143">
      <c r="A143" s="8"/>
      <c r="B143" s="8"/>
      <c r="C143" s="8"/>
      <c r="D143" s="8"/>
      <c r="E143" s="9"/>
    </row>
    <row r="144">
      <c r="A144" s="8"/>
      <c r="B144" s="8"/>
      <c r="C144" s="8"/>
      <c r="D144" s="8"/>
      <c r="E144" s="9"/>
    </row>
    <row r="145">
      <c r="A145" s="8"/>
      <c r="B145" s="8"/>
      <c r="C145" s="8"/>
      <c r="D145" s="8"/>
      <c r="E145" s="9"/>
    </row>
    <row r="146">
      <c r="A146" s="8"/>
      <c r="B146" s="8"/>
      <c r="C146" s="8"/>
      <c r="D146" s="8"/>
      <c r="E146" s="9"/>
    </row>
    <row r="147">
      <c r="A147" s="8"/>
      <c r="B147" s="8"/>
      <c r="C147" s="8"/>
      <c r="D147" s="8"/>
      <c r="E147" s="9"/>
    </row>
    <row r="148">
      <c r="A148" s="8"/>
      <c r="B148" s="8"/>
      <c r="C148" s="8"/>
      <c r="D148" s="8"/>
      <c r="E148" s="9"/>
    </row>
    <row r="149">
      <c r="A149" s="8"/>
      <c r="B149" s="8"/>
      <c r="C149" s="8"/>
      <c r="D149" s="8"/>
      <c r="E149" s="9"/>
    </row>
    <row r="150">
      <c r="A150" s="8"/>
      <c r="B150" s="8"/>
      <c r="C150" s="8"/>
      <c r="D150" s="8"/>
      <c r="E150" s="9"/>
    </row>
    <row r="151">
      <c r="A151" s="8"/>
      <c r="B151" s="8"/>
      <c r="C151" s="8"/>
      <c r="D151" s="8"/>
      <c r="E151" s="9"/>
    </row>
    <row r="152">
      <c r="A152" s="8"/>
      <c r="B152" s="8"/>
      <c r="C152" s="8"/>
      <c r="D152" s="8"/>
      <c r="E152" s="9"/>
    </row>
    <row r="153">
      <c r="A153" s="8"/>
      <c r="B153" s="8"/>
      <c r="C153" s="8"/>
      <c r="D153" s="8"/>
      <c r="E153" s="9"/>
    </row>
    <row r="154">
      <c r="A154" s="8"/>
      <c r="B154" s="8"/>
      <c r="C154" s="8"/>
      <c r="D154" s="8"/>
      <c r="E154" s="9"/>
    </row>
    <row r="155">
      <c r="A155" s="8"/>
      <c r="B155" s="8"/>
      <c r="C155" s="8"/>
      <c r="D155" s="8"/>
      <c r="E155" s="9"/>
    </row>
    <row r="156">
      <c r="A156" s="8"/>
      <c r="B156" s="8"/>
      <c r="C156" s="8"/>
      <c r="D156" s="8"/>
      <c r="E156" s="9"/>
    </row>
    <row r="157">
      <c r="A157" s="8"/>
      <c r="B157" s="8"/>
      <c r="C157" s="8"/>
      <c r="D157" s="8"/>
      <c r="E157" s="9"/>
    </row>
    <row r="158">
      <c r="A158" s="8"/>
      <c r="B158" s="8"/>
      <c r="C158" s="8"/>
      <c r="D158" s="8"/>
      <c r="E158" s="9"/>
    </row>
    <row r="159">
      <c r="A159" s="8"/>
      <c r="B159" s="8"/>
      <c r="C159" s="8"/>
      <c r="D159" s="8"/>
      <c r="E159" s="9"/>
    </row>
    <row r="160">
      <c r="A160" s="8"/>
      <c r="B160" s="8"/>
      <c r="C160" s="8"/>
      <c r="D160" s="8"/>
      <c r="E160" s="9"/>
    </row>
    <row r="161">
      <c r="A161" s="8"/>
      <c r="B161" s="8"/>
      <c r="C161" s="8"/>
      <c r="D161" s="8"/>
      <c r="E161" s="9"/>
    </row>
    <row r="162">
      <c r="A162" s="8"/>
      <c r="B162" s="8"/>
      <c r="C162" s="8"/>
      <c r="D162" s="8"/>
      <c r="E162" s="9"/>
    </row>
    <row r="163">
      <c r="A163" s="8"/>
      <c r="B163" s="8"/>
      <c r="C163" s="8"/>
      <c r="D163" s="8"/>
      <c r="E163" s="9"/>
    </row>
    <row r="164">
      <c r="A164" s="8"/>
      <c r="B164" s="8"/>
      <c r="C164" s="8"/>
      <c r="D164" s="8"/>
      <c r="E164" s="9"/>
    </row>
    <row r="165">
      <c r="A165" s="8"/>
      <c r="B165" s="8"/>
      <c r="C165" s="8"/>
      <c r="D165" s="8"/>
      <c r="E165" s="9"/>
    </row>
    <row r="166">
      <c r="A166" s="8"/>
      <c r="B166" s="8"/>
      <c r="C166" s="8"/>
      <c r="D166" s="8"/>
      <c r="E166" s="9"/>
    </row>
    <row r="167">
      <c r="A167" s="8"/>
      <c r="B167" s="8"/>
      <c r="C167" s="8"/>
      <c r="D167" s="8"/>
      <c r="E167" s="9"/>
    </row>
    <row r="168">
      <c r="A168" s="8"/>
      <c r="B168" s="8"/>
      <c r="C168" s="8"/>
      <c r="D168" s="8"/>
      <c r="E168" s="9"/>
    </row>
    <row r="169">
      <c r="A169" s="8"/>
      <c r="B169" s="8"/>
      <c r="C169" s="8"/>
      <c r="D169" s="8"/>
      <c r="E169" s="9"/>
    </row>
    <row r="170">
      <c r="A170" s="8"/>
      <c r="B170" s="8"/>
      <c r="C170" s="8"/>
      <c r="D170" s="8"/>
      <c r="E170" s="9"/>
    </row>
    <row r="171">
      <c r="A171" s="8"/>
      <c r="B171" s="8"/>
      <c r="C171" s="8"/>
      <c r="D171" s="8"/>
      <c r="E171" s="9"/>
    </row>
    <row r="172">
      <c r="A172" s="8"/>
      <c r="B172" s="8"/>
      <c r="C172" s="8"/>
      <c r="D172" s="8"/>
      <c r="E172" s="9"/>
    </row>
    <row r="173">
      <c r="A173" s="8"/>
      <c r="B173" s="8"/>
      <c r="C173" s="8"/>
      <c r="D173" s="8"/>
      <c r="E173" s="9"/>
    </row>
    <row r="174">
      <c r="A174" s="8"/>
      <c r="B174" s="8"/>
      <c r="C174" s="8"/>
      <c r="D174" s="8"/>
      <c r="E174" s="9"/>
    </row>
    <row r="175">
      <c r="A175" s="8"/>
      <c r="B175" s="8"/>
      <c r="C175" s="8"/>
      <c r="D175" s="8"/>
      <c r="E175" s="9"/>
    </row>
    <row r="176">
      <c r="A176" s="8"/>
      <c r="B176" s="8"/>
      <c r="C176" s="8"/>
      <c r="D176" s="8"/>
      <c r="E176" s="9"/>
    </row>
    <row r="177">
      <c r="A177" s="8"/>
      <c r="B177" s="8"/>
      <c r="C177" s="8"/>
      <c r="D177" s="8"/>
      <c r="E177" s="9"/>
    </row>
    <row r="178">
      <c r="A178" s="8"/>
      <c r="B178" s="8"/>
      <c r="C178" s="8"/>
      <c r="D178" s="8"/>
      <c r="E178" s="9"/>
    </row>
    <row r="179">
      <c r="A179" s="8"/>
      <c r="B179" s="8"/>
      <c r="C179" s="8"/>
      <c r="D179" s="8"/>
      <c r="E179" s="9"/>
    </row>
    <row r="180">
      <c r="A180" s="8"/>
      <c r="B180" s="8"/>
      <c r="C180" s="8"/>
      <c r="D180" s="8"/>
      <c r="E180" s="9"/>
    </row>
    <row r="181">
      <c r="A181" s="8"/>
      <c r="B181" s="8"/>
      <c r="C181" s="8"/>
      <c r="D181" s="8"/>
      <c r="E181" s="9"/>
    </row>
    <row r="182">
      <c r="A182" s="8"/>
      <c r="B182" s="8"/>
      <c r="C182" s="8"/>
      <c r="D182" s="8"/>
      <c r="E182" s="9"/>
    </row>
    <row r="183">
      <c r="A183" s="8"/>
      <c r="B183" s="8"/>
      <c r="C183" s="8"/>
      <c r="D183" s="8"/>
      <c r="E183" s="9"/>
    </row>
    <row r="184">
      <c r="A184" s="8"/>
      <c r="B184" s="8"/>
      <c r="C184" s="8"/>
      <c r="D184" s="8"/>
      <c r="E184" s="9"/>
    </row>
    <row r="185">
      <c r="A185" s="8"/>
      <c r="B185" s="8"/>
      <c r="C185" s="8"/>
      <c r="D185" s="8"/>
      <c r="E185" s="9"/>
    </row>
    <row r="186">
      <c r="A186" s="8"/>
      <c r="B186" s="8"/>
      <c r="C186" s="8"/>
      <c r="D186" s="8"/>
      <c r="E186" s="9"/>
    </row>
    <row r="187">
      <c r="A187" s="8"/>
      <c r="B187" s="8"/>
      <c r="C187" s="8"/>
      <c r="D187" s="8"/>
      <c r="E187" s="9"/>
    </row>
    <row r="188">
      <c r="A188" s="8"/>
      <c r="B188" s="8"/>
      <c r="C188" s="8"/>
      <c r="D188" s="8"/>
      <c r="E188" s="9"/>
    </row>
    <row r="189">
      <c r="A189" s="8"/>
      <c r="B189" s="8"/>
      <c r="C189" s="8"/>
      <c r="D189" s="8"/>
      <c r="E189" s="9"/>
    </row>
    <row r="190">
      <c r="A190" s="8"/>
      <c r="B190" s="8"/>
      <c r="C190" s="8"/>
      <c r="D190" s="8"/>
      <c r="E190" s="9"/>
    </row>
    <row r="191">
      <c r="A191" s="8"/>
      <c r="B191" s="8"/>
      <c r="C191" s="8"/>
      <c r="D191" s="8"/>
      <c r="E191" s="9"/>
    </row>
    <row r="192">
      <c r="A192" s="8"/>
      <c r="B192" s="8"/>
      <c r="C192" s="8"/>
      <c r="D192" s="8"/>
      <c r="E192" s="9"/>
    </row>
    <row r="193">
      <c r="A193" s="8"/>
      <c r="B193" s="8"/>
      <c r="C193" s="8"/>
      <c r="D193" s="8"/>
      <c r="E193" s="9"/>
    </row>
    <row r="194">
      <c r="A194" s="8"/>
      <c r="B194" s="8"/>
      <c r="C194" s="8"/>
      <c r="D194" s="8"/>
      <c r="E194" s="9"/>
    </row>
    <row r="195">
      <c r="A195" s="8"/>
      <c r="B195" s="8"/>
      <c r="C195" s="8"/>
      <c r="D195" s="8"/>
      <c r="E195" s="9"/>
    </row>
    <row r="196">
      <c r="A196" s="8"/>
      <c r="B196" s="8"/>
      <c r="C196" s="8"/>
      <c r="D196" s="8"/>
      <c r="E196" s="9"/>
    </row>
    <row r="197">
      <c r="A197" s="8"/>
      <c r="B197" s="8"/>
      <c r="C197" s="8"/>
      <c r="D197" s="8"/>
      <c r="E197" s="9"/>
    </row>
    <row r="198">
      <c r="A198" s="8"/>
      <c r="B198" s="8"/>
      <c r="C198" s="8"/>
      <c r="D198" s="8"/>
      <c r="E198" s="9"/>
    </row>
    <row r="199">
      <c r="A199" s="8"/>
      <c r="B199" s="8"/>
      <c r="C199" s="8"/>
      <c r="D199" s="8"/>
      <c r="E199" s="9"/>
    </row>
    <row r="200">
      <c r="A200" s="8"/>
      <c r="B200" s="8"/>
      <c r="C200" s="8"/>
      <c r="D200" s="8"/>
      <c r="E200" s="9"/>
    </row>
    <row r="201">
      <c r="A201" s="8"/>
      <c r="B201" s="8"/>
      <c r="C201" s="8"/>
      <c r="D201" s="8"/>
      <c r="E201" s="9"/>
    </row>
    <row r="202">
      <c r="A202" s="8"/>
      <c r="B202" s="8"/>
      <c r="C202" s="8"/>
      <c r="D202" s="8"/>
      <c r="E202" s="9"/>
    </row>
    <row r="203">
      <c r="A203" s="8"/>
      <c r="B203" s="8"/>
      <c r="C203" s="8"/>
      <c r="D203" s="8"/>
      <c r="E203" s="9"/>
    </row>
    <row r="204">
      <c r="A204" s="8"/>
      <c r="B204" s="8"/>
      <c r="C204" s="8"/>
      <c r="D204" s="8"/>
      <c r="E204" s="9"/>
    </row>
    <row r="205">
      <c r="A205" s="8"/>
      <c r="B205" s="8"/>
      <c r="C205" s="8"/>
      <c r="D205" s="8"/>
      <c r="E205" s="9"/>
    </row>
    <row r="206">
      <c r="A206" s="8"/>
      <c r="B206" s="8"/>
      <c r="C206" s="8"/>
      <c r="D206" s="8"/>
      <c r="E206" s="9"/>
    </row>
    <row r="207">
      <c r="A207" s="8"/>
      <c r="B207" s="8"/>
      <c r="C207" s="8"/>
      <c r="D207" s="8"/>
      <c r="E207" s="9"/>
    </row>
    <row r="208">
      <c r="A208" s="8"/>
      <c r="B208" s="8"/>
      <c r="C208" s="8"/>
      <c r="D208" s="8"/>
      <c r="E208" s="9"/>
    </row>
    <row r="209">
      <c r="A209" s="8"/>
      <c r="B209" s="8"/>
      <c r="C209" s="8"/>
      <c r="D209" s="8"/>
      <c r="E209" s="9"/>
    </row>
    <row r="210">
      <c r="A210" s="8"/>
      <c r="B210" s="8"/>
      <c r="C210" s="8"/>
      <c r="D210" s="8"/>
      <c r="E210" s="9"/>
    </row>
    <row r="211">
      <c r="A211" s="8"/>
      <c r="B211" s="8"/>
      <c r="C211" s="8"/>
      <c r="D211" s="8"/>
      <c r="E211" s="9"/>
    </row>
    <row r="212">
      <c r="A212" s="8"/>
      <c r="B212" s="8"/>
      <c r="C212" s="8"/>
      <c r="D212" s="8"/>
      <c r="E212" s="9"/>
    </row>
    <row r="213">
      <c r="A213" s="8"/>
      <c r="B213" s="8"/>
      <c r="C213" s="8"/>
      <c r="D213" s="8"/>
      <c r="E213" s="9"/>
    </row>
    <row r="214">
      <c r="A214" s="8"/>
      <c r="B214" s="8"/>
      <c r="C214" s="8"/>
      <c r="D214" s="8"/>
      <c r="E214" s="9"/>
    </row>
    <row r="215">
      <c r="A215" s="8"/>
      <c r="B215" s="8"/>
      <c r="C215" s="8"/>
      <c r="D215" s="8"/>
      <c r="E215" s="9"/>
    </row>
    <row r="216">
      <c r="A216" s="8"/>
      <c r="B216" s="8"/>
      <c r="C216" s="8"/>
      <c r="D216" s="8"/>
      <c r="E216" s="9"/>
    </row>
    <row r="217">
      <c r="A217" s="8"/>
      <c r="B217" s="8"/>
      <c r="C217" s="8"/>
      <c r="D217" s="8"/>
      <c r="E217" s="9"/>
    </row>
    <row r="218">
      <c r="A218" s="8"/>
      <c r="B218" s="8"/>
      <c r="C218" s="8"/>
      <c r="D218" s="8"/>
      <c r="E218" s="9"/>
    </row>
    <row r="219">
      <c r="A219" s="8"/>
      <c r="B219" s="8"/>
      <c r="C219" s="8"/>
      <c r="D219" s="8"/>
      <c r="E219" s="9"/>
    </row>
    <row r="220">
      <c r="A220" s="8"/>
      <c r="B220" s="8"/>
      <c r="C220" s="8"/>
      <c r="D220" s="8"/>
      <c r="E220" s="9"/>
    </row>
    <row r="221">
      <c r="A221" s="8"/>
      <c r="B221" s="8"/>
      <c r="C221" s="8"/>
      <c r="D221" s="8"/>
      <c r="E221" s="9"/>
    </row>
    <row r="222">
      <c r="A222" s="8"/>
      <c r="B222" s="8"/>
      <c r="C222" s="8"/>
      <c r="D222" s="8"/>
      <c r="E222" s="9"/>
    </row>
    <row r="223">
      <c r="A223" s="8"/>
      <c r="B223" s="8"/>
      <c r="C223" s="8"/>
      <c r="D223" s="8"/>
      <c r="E223" s="9"/>
    </row>
    <row r="224">
      <c r="A224" s="8"/>
      <c r="B224" s="8"/>
      <c r="C224" s="8"/>
      <c r="D224" s="8"/>
      <c r="E224" s="9"/>
    </row>
    <row r="225">
      <c r="A225" s="8"/>
      <c r="B225" s="8"/>
      <c r="C225" s="8"/>
      <c r="D225" s="8"/>
      <c r="E225" s="9"/>
    </row>
    <row r="226">
      <c r="A226" s="8"/>
      <c r="B226" s="8"/>
      <c r="C226" s="8"/>
      <c r="D226" s="8"/>
      <c r="E226" s="9"/>
    </row>
    <row r="227">
      <c r="A227" s="8"/>
      <c r="B227" s="8"/>
      <c r="C227" s="8"/>
      <c r="D227" s="8"/>
      <c r="E227" s="9"/>
    </row>
    <row r="228">
      <c r="A228" s="8"/>
      <c r="B228" s="8"/>
      <c r="C228" s="8"/>
      <c r="D228" s="8"/>
      <c r="E228" s="9"/>
    </row>
    <row r="229">
      <c r="A229" s="8"/>
      <c r="B229" s="8"/>
      <c r="C229" s="8"/>
      <c r="D229" s="8"/>
      <c r="E229" s="9"/>
    </row>
    <row r="230">
      <c r="A230" s="8"/>
      <c r="B230" s="8"/>
      <c r="C230" s="8"/>
      <c r="D230" s="8"/>
      <c r="E230" s="9"/>
    </row>
    <row r="231">
      <c r="A231" s="8"/>
      <c r="B231" s="8"/>
      <c r="C231" s="8"/>
      <c r="D231" s="8"/>
      <c r="E231" s="9"/>
    </row>
    <row r="232">
      <c r="A232" s="8"/>
      <c r="B232" s="8"/>
      <c r="C232" s="8"/>
      <c r="D232" s="8"/>
      <c r="E232" s="9"/>
    </row>
    <row r="233">
      <c r="A233" s="8"/>
      <c r="B233" s="8"/>
      <c r="C233" s="8"/>
      <c r="D233" s="8"/>
      <c r="E233" s="9"/>
    </row>
    <row r="234">
      <c r="A234" s="8"/>
      <c r="B234" s="8"/>
      <c r="C234" s="8"/>
      <c r="D234" s="8"/>
      <c r="E234" s="9"/>
    </row>
    <row r="235">
      <c r="A235" s="8"/>
      <c r="B235" s="8"/>
      <c r="C235" s="8"/>
      <c r="D235" s="8"/>
      <c r="E235" s="9"/>
    </row>
    <row r="236">
      <c r="A236" s="8"/>
      <c r="B236" s="8"/>
      <c r="C236" s="8"/>
      <c r="D236" s="8"/>
      <c r="E236" s="9"/>
    </row>
    <row r="237">
      <c r="A237" s="8"/>
      <c r="B237" s="8"/>
      <c r="C237" s="8"/>
      <c r="D237" s="8"/>
      <c r="E237" s="9"/>
    </row>
    <row r="238">
      <c r="A238" s="8"/>
      <c r="B238" s="8"/>
      <c r="C238" s="8"/>
      <c r="D238" s="8"/>
      <c r="E238" s="9"/>
    </row>
    <row r="239">
      <c r="A239" s="8"/>
      <c r="B239" s="8"/>
      <c r="C239" s="8"/>
      <c r="D239" s="8"/>
      <c r="E239" s="9"/>
    </row>
    <row r="240">
      <c r="A240" s="8"/>
      <c r="B240" s="8"/>
      <c r="C240" s="8"/>
      <c r="D240" s="8"/>
      <c r="E240" s="9"/>
    </row>
    <row r="241">
      <c r="A241" s="8"/>
      <c r="B241" s="8"/>
      <c r="C241" s="8"/>
      <c r="D241" s="8"/>
      <c r="E241" s="9"/>
    </row>
    <row r="242">
      <c r="A242" s="8"/>
      <c r="B242" s="8"/>
      <c r="C242" s="8"/>
      <c r="D242" s="8"/>
      <c r="E242" s="9"/>
    </row>
    <row r="243">
      <c r="A243" s="8"/>
      <c r="B243" s="8"/>
      <c r="C243" s="8"/>
      <c r="D243" s="8"/>
      <c r="E243" s="9"/>
    </row>
    <row r="244">
      <c r="A244" s="8"/>
      <c r="B244" s="8"/>
      <c r="C244" s="8"/>
      <c r="D244" s="8"/>
      <c r="E244" s="9"/>
    </row>
    <row r="245">
      <c r="A245" s="8"/>
      <c r="B245" s="8"/>
      <c r="C245" s="8"/>
      <c r="D245" s="8"/>
      <c r="E245" s="9"/>
    </row>
    <row r="246">
      <c r="A246" s="8"/>
      <c r="B246" s="8"/>
      <c r="C246" s="8"/>
      <c r="D246" s="8"/>
      <c r="E246" s="9"/>
    </row>
    <row r="247">
      <c r="A247" s="8"/>
      <c r="B247" s="8"/>
      <c r="C247" s="8"/>
      <c r="D247" s="8"/>
      <c r="E247" s="9"/>
    </row>
    <row r="248">
      <c r="A248" s="8"/>
      <c r="B248" s="8"/>
      <c r="C248" s="8"/>
      <c r="D248" s="8"/>
      <c r="E248" s="9"/>
    </row>
    <row r="249">
      <c r="A249" s="8"/>
      <c r="B249" s="8"/>
      <c r="C249" s="8"/>
      <c r="D249" s="8"/>
      <c r="E249" s="9"/>
    </row>
    <row r="250">
      <c r="A250" s="8"/>
      <c r="B250" s="8"/>
      <c r="C250" s="8"/>
      <c r="D250" s="8"/>
      <c r="E250" s="9"/>
    </row>
    <row r="251">
      <c r="A251" s="8"/>
      <c r="B251" s="8"/>
      <c r="C251" s="8"/>
      <c r="D251" s="8"/>
      <c r="E251" s="9"/>
    </row>
    <row r="252">
      <c r="A252" s="8"/>
      <c r="B252" s="8"/>
      <c r="C252" s="8"/>
      <c r="D252" s="8"/>
      <c r="E252" s="9"/>
    </row>
    <row r="253">
      <c r="A253" s="8"/>
      <c r="B253" s="8"/>
      <c r="C253" s="8"/>
      <c r="D253" s="8"/>
      <c r="E253" s="9"/>
    </row>
    <row r="254">
      <c r="A254" s="8"/>
      <c r="B254" s="8"/>
      <c r="C254" s="8"/>
      <c r="D254" s="8"/>
      <c r="E254" s="9"/>
    </row>
    <row r="255">
      <c r="A255" s="8"/>
      <c r="B255" s="8"/>
      <c r="C255" s="8"/>
      <c r="D255" s="8"/>
      <c r="E255" s="9"/>
    </row>
    <row r="256">
      <c r="A256" s="8"/>
      <c r="B256" s="8"/>
      <c r="C256" s="8"/>
      <c r="D256" s="8"/>
      <c r="E256" s="9"/>
    </row>
    <row r="257">
      <c r="A257" s="8"/>
      <c r="B257" s="8"/>
      <c r="C257" s="8"/>
      <c r="D257" s="8"/>
      <c r="E257" s="9"/>
    </row>
    <row r="258">
      <c r="A258" s="8"/>
      <c r="B258" s="8"/>
      <c r="C258" s="8"/>
      <c r="D258" s="8"/>
      <c r="E258" s="9"/>
    </row>
    <row r="259">
      <c r="A259" s="8"/>
      <c r="B259" s="8"/>
      <c r="C259" s="8"/>
      <c r="D259" s="8"/>
      <c r="E259" s="9"/>
    </row>
    <row r="260">
      <c r="A260" s="8"/>
      <c r="B260" s="8"/>
      <c r="C260" s="8"/>
      <c r="D260" s="8"/>
      <c r="E260" s="9"/>
    </row>
    <row r="261">
      <c r="A261" s="8"/>
      <c r="B261" s="8"/>
      <c r="C261" s="8"/>
      <c r="D261" s="8"/>
      <c r="E261" s="9"/>
    </row>
    <row r="262">
      <c r="A262" s="8"/>
      <c r="B262" s="8"/>
      <c r="C262" s="8"/>
      <c r="D262" s="8"/>
      <c r="E262" s="9"/>
    </row>
    <row r="263">
      <c r="A263" s="8"/>
      <c r="B263" s="8"/>
      <c r="C263" s="8"/>
      <c r="D263" s="8"/>
      <c r="E263" s="9"/>
    </row>
    <row r="264">
      <c r="A264" s="8"/>
      <c r="B264" s="8"/>
      <c r="C264" s="8"/>
      <c r="D264" s="8"/>
      <c r="E264" s="9"/>
    </row>
    <row r="265">
      <c r="A265" s="8"/>
      <c r="B265" s="8"/>
      <c r="C265" s="8"/>
      <c r="D265" s="8"/>
      <c r="E265" s="9"/>
    </row>
    <row r="266">
      <c r="A266" s="8"/>
      <c r="B266" s="8"/>
      <c r="C266" s="8"/>
      <c r="D266" s="8"/>
      <c r="E266" s="9"/>
    </row>
    <row r="267">
      <c r="A267" s="8"/>
      <c r="B267" s="8"/>
      <c r="C267" s="8"/>
      <c r="D267" s="8"/>
      <c r="E267" s="9"/>
    </row>
    <row r="268">
      <c r="A268" s="8"/>
      <c r="B268" s="8"/>
      <c r="C268" s="8"/>
      <c r="D268" s="8"/>
      <c r="E268" s="9"/>
    </row>
    <row r="269">
      <c r="A269" s="8"/>
      <c r="B269" s="8"/>
      <c r="C269" s="8"/>
      <c r="D269" s="8"/>
      <c r="E269" s="9"/>
    </row>
    <row r="270">
      <c r="A270" s="8"/>
      <c r="B270" s="8"/>
      <c r="C270" s="8"/>
      <c r="D270" s="8"/>
      <c r="E270" s="9"/>
    </row>
    <row r="271">
      <c r="A271" s="8"/>
      <c r="B271" s="8"/>
      <c r="C271" s="8"/>
      <c r="D271" s="8"/>
      <c r="E271" s="9"/>
    </row>
    <row r="272">
      <c r="A272" s="8"/>
      <c r="B272" s="8"/>
      <c r="C272" s="8"/>
      <c r="D272" s="8"/>
      <c r="E272" s="9"/>
    </row>
    <row r="273">
      <c r="A273" s="8"/>
      <c r="B273" s="8"/>
      <c r="C273" s="8"/>
      <c r="D273" s="8"/>
      <c r="E273" s="9"/>
    </row>
    <row r="274">
      <c r="A274" s="8"/>
      <c r="B274" s="8"/>
      <c r="C274" s="8"/>
      <c r="D274" s="8"/>
      <c r="E274" s="9"/>
    </row>
    <row r="275">
      <c r="A275" s="8"/>
      <c r="B275" s="8"/>
      <c r="C275" s="8"/>
      <c r="D275" s="8"/>
      <c r="E275" s="9"/>
    </row>
    <row r="276">
      <c r="A276" s="8"/>
      <c r="B276" s="8"/>
      <c r="C276" s="8"/>
      <c r="D276" s="8"/>
      <c r="E276" s="9"/>
    </row>
    <row r="277">
      <c r="A277" s="8"/>
      <c r="B277" s="8"/>
      <c r="C277" s="8"/>
      <c r="D277" s="8"/>
      <c r="E277" s="9"/>
    </row>
    <row r="278">
      <c r="A278" s="8"/>
      <c r="B278" s="8"/>
      <c r="C278" s="8"/>
      <c r="D278" s="8"/>
      <c r="E278" s="9"/>
    </row>
    <row r="279">
      <c r="A279" s="8"/>
      <c r="B279" s="8"/>
      <c r="C279" s="8"/>
      <c r="D279" s="8"/>
      <c r="E279" s="9"/>
    </row>
    <row r="280">
      <c r="A280" s="8"/>
      <c r="B280" s="8"/>
      <c r="C280" s="8"/>
      <c r="D280" s="8"/>
      <c r="E280" s="9"/>
    </row>
    <row r="281">
      <c r="A281" s="8"/>
      <c r="B281" s="8"/>
      <c r="C281" s="8"/>
      <c r="D281" s="8"/>
      <c r="E281" s="9"/>
    </row>
    <row r="282">
      <c r="A282" s="8"/>
      <c r="B282" s="8"/>
      <c r="C282" s="8"/>
      <c r="D282" s="8"/>
      <c r="E282" s="9"/>
    </row>
    <row r="283">
      <c r="A283" s="8"/>
      <c r="B283" s="8"/>
      <c r="C283" s="8"/>
      <c r="D283" s="8"/>
      <c r="E283" s="9"/>
    </row>
    <row r="284">
      <c r="A284" s="8"/>
      <c r="B284" s="8"/>
      <c r="C284" s="8"/>
      <c r="D284" s="8"/>
      <c r="E284" s="9"/>
    </row>
    <row r="285">
      <c r="A285" s="8"/>
      <c r="B285" s="8"/>
      <c r="C285" s="8"/>
      <c r="D285" s="8"/>
      <c r="E285" s="9"/>
    </row>
    <row r="286">
      <c r="A286" s="8"/>
      <c r="B286" s="8"/>
      <c r="C286" s="8"/>
      <c r="D286" s="8"/>
      <c r="E286" s="9"/>
    </row>
    <row r="287">
      <c r="A287" s="8"/>
      <c r="B287" s="8"/>
      <c r="C287" s="8"/>
      <c r="D287" s="8"/>
      <c r="E287" s="9"/>
    </row>
    <row r="288">
      <c r="A288" s="8"/>
      <c r="B288" s="8"/>
      <c r="C288" s="8"/>
      <c r="D288" s="8"/>
      <c r="E288" s="9"/>
    </row>
    <row r="289">
      <c r="A289" s="8"/>
      <c r="B289" s="8"/>
      <c r="C289" s="8"/>
      <c r="D289" s="8"/>
      <c r="E289" s="9"/>
    </row>
    <row r="290">
      <c r="A290" s="8"/>
      <c r="B290" s="8"/>
      <c r="C290" s="8"/>
      <c r="D290" s="8"/>
      <c r="E290" s="9"/>
    </row>
    <row r="291">
      <c r="A291" s="8"/>
      <c r="B291" s="8"/>
      <c r="C291" s="8"/>
      <c r="D291" s="8"/>
      <c r="E291" s="9"/>
    </row>
    <row r="292">
      <c r="A292" s="8"/>
      <c r="B292" s="8"/>
      <c r="C292" s="8"/>
      <c r="D292" s="8"/>
      <c r="E292" s="9"/>
    </row>
    <row r="293">
      <c r="A293" s="8"/>
      <c r="B293" s="8"/>
      <c r="C293" s="8"/>
      <c r="D293" s="8"/>
      <c r="E293" s="9"/>
    </row>
    <row r="294">
      <c r="A294" s="8"/>
      <c r="B294" s="8"/>
      <c r="C294" s="8"/>
      <c r="D294" s="8"/>
      <c r="E294" s="9"/>
    </row>
    <row r="295">
      <c r="A295" s="8"/>
      <c r="B295" s="8"/>
      <c r="C295" s="8"/>
      <c r="D295" s="8"/>
      <c r="E295" s="9"/>
    </row>
    <row r="296">
      <c r="A296" s="8"/>
      <c r="B296" s="8"/>
      <c r="C296" s="8"/>
      <c r="D296" s="8"/>
      <c r="E296" s="9"/>
    </row>
    <row r="297">
      <c r="A297" s="8"/>
      <c r="B297" s="8"/>
      <c r="C297" s="8"/>
      <c r="D297" s="8"/>
      <c r="E297" s="9"/>
    </row>
    <row r="298">
      <c r="A298" s="8"/>
      <c r="B298" s="8"/>
      <c r="C298" s="8"/>
      <c r="D298" s="8"/>
      <c r="E298" s="9"/>
    </row>
    <row r="299">
      <c r="A299" s="8"/>
      <c r="B299" s="8"/>
      <c r="C299" s="8"/>
      <c r="D299" s="8"/>
      <c r="E299" s="9"/>
    </row>
    <row r="300">
      <c r="A300" s="8"/>
      <c r="B300" s="8"/>
      <c r="C300" s="8"/>
      <c r="D300" s="8"/>
      <c r="E300" s="9"/>
    </row>
    <row r="301">
      <c r="A301" s="8"/>
      <c r="B301" s="8"/>
      <c r="C301" s="8"/>
      <c r="D301" s="8"/>
      <c r="E301" s="9"/>
    </row>
    <row r="302">
      <c r="A302" s="8"/>
      <c r="B302" s="8"/>
      <c r="C302" s="8"/>
      <c r="D302" s="8"/>
      <c r="E302" s="9"/>
    </row>
    <row r="303">
      <c r="A303" s="8"/>
      <c r="B303" s="8"/>
      <c r="C303" s="8"/>
      <c r="D303" s="8"/>
      <c r="E303" s="9"/>
    </row>
    <row r="304">
      <c r="A304" s="8"/>
      <c r="B304" s="8"/>
      <c r="C304" s="8"/>
      <c r="D304" s="8"/>
      <c r="E304" s="9"/>
    </row>
    <row r="305">
      <c r="A305" s="8"/>
      <c r="B305" s="8"/>
      <c r="C305" s="8"/>
      <c r="D305" s="8"/>
      <c r="E305" s="9"/>
    </row>
    <row r="306">
      <c r="A306" s="8"/>
      <c r="B306" s="8"/>
      <c r="C306" s="8"/>
      <c r="D306" s="8"/>
      <c r="E306" s="9"/>
    </row>
    <row r="307">
      <c r="A307" s="8"/>
      <c r="B307" s="8"/>
      <c r="C307" s="8"/>
      <c r="D307" s="8"/>
      <c r="E307" s="9"/>
    </row>
    <row r="308">
      <c r="A308" s="8"/>
      <c r="B308" s="8"/>
      <c r="C308" s="8"/>
      <c r="D308" s="8"/>
      <c r="E308" s="9"/>
    </row>
    <row r="309">
      <c r="A309" s="8"/>
      <c r="B309" s="8"/>
      <c r="C309" s="8"/>
      <c r="D309" s="8"/>
      <c r="E309" s="9"/>
    </row>
    <row r="310">
      <c r="A310" s="8"/>
      <c r="B310" s="8"/>
      <c r="C310" s="8"/>
      <c r="D310" s="8"/>
      <c r="E310" s="9"/>
    </row>
    <row r="311">
      <c r="A311" s="8"/>
      <c r="B311" s="8"/>
      <c r="C311" s="8"/>
      <c r="D311" s="8"/>
      <c r="E311" s="9"/>
    </row>
    <row r="312">
      <c r="A312" s="8"/>
      <c r="B312" s="8"/>
      <c r="C312" s="8"/>
      <c r="D312" s="8"/>
      <c r="E312" s="9"/>
    </row>
    <row r="313">
      <c r="A313" s="8"/>
      <c r="B313" s="8"/>
      <c r="C313" s="8"/>
      <c r="D313" s="8"/>
      <c r="E313" s="9"/>
    </row>
    <row r="314">
      <c r="A314" s="8"/>
      <c r="B314" s="8"/>
      <c r="C314" s="8"/>
      <c r="D314" s="8"/>
      <c r="E314" s="9"/>
    </row>
    <row r="315">
      <c r="A315" s="8"/>
      <c r="B315" s="8"/>
      <c r="C315" s="8"/>
      <c r="D315" s="8"/>
      <c r="E315" s="9"/>
    </row>
    <row r="316">
      <c r="A316" s="8"/>
      <c r="B316" s="8"/>
      <c r="C316" s="8"/>
      <c r="D316" s="8"/>
      <c r="E316" s="9"/>
    </row>
    <row r="317">
      <c r="A317" s="8"/>
      <c r="B317" s="8"/>
      <c r="C317" s="8"/>
      <c r="D317" s="8"/>
      <c r="E317" s="9"/>
    </row>
    <row r="318">
      <c r="A318" s="8"/>
      <c r="B318" s="8"/>
      <c r="C318" s="8"/>
      <c r="D318" s="8"/>
      <c r="E318" s="9"/>
    </row>
    <row r="319">
      <c r="A319" s="8"/>
      <c r="B319" s="8"/>
      <c r="C319" s="8"/>
      <c r="D319" s="8"/>
      <c r="E319" s="9"/>
    </row>
    <row r="320">
      <c r="A320" s="8"/>
      <c r="B320" s="8"/>
      <c r="C320" s="8"/>
      <c r="D320" s="8"/>
      <c r="E320" s="9"/>
    </row>
    <row r="321">
      <c r="A321" s="8"/>
      <c r="B321" s="8"/>
      <c r="C321" s="8"/>
      <c r="D321" s="8"/>
      <c r="E321" s="9"/>
    </row>
    <row r="322">
      <c r="A322" s="8"/>
      <c r="B322" s="8"/>
      <c r="C322" s="8"/>
      <c r="D322" s="8"/>
      <c r="E322" s="9"/>
    </row>
    <row r="323">
      <c r="A323" s="8"/>
      <c r="B323" s="8"/>
      <c r="C323" s="8"/>
      <c r="D323" s="8"/>
      <c r="E323" s="9"/>
    </row>
    <row r="324">
      <c r="A324" s="8"/>
      <c r="B324" s="8"/>
      <c r="C324" s="8"/>
      <c r="D324" s="8"/>
      <c r="E324" s="9"/>
    </row>
    <row r="325">
      <c r="A325" s="8"/>
      <c r="B325" s="8"/>
      <c r="C325" s="8"/>
      <c r="D325" s="8"/>
      <c r="E325" s="9"/>
    </row>
    <row r="326">
      <c r="A326" s="8"/>
      <c r="B326" s="8"/>
      <c r="C326" s="8"/>
      <c r="D326" s="8"/>
      <c r="E326" s="9"/>
    </row>
    <row r="327">
      <c r="A327" s="8"/>
      <c r="B327" s="8"/>
      <c r="C327" s="8"/>
      <c r="D327" s="8"/>
      <c r="E327" s="9"/>
    </row>
    <row r="328">
      <c r="A328" s="8"/>
      <c r="B328" s="8"/>
      <c r="C328" s="8"/>
      <c r="D328" s="8"/>
      <c r="E328" s="9"/>
    </row>
    <row r="329">
      <c r="A329" s="8"/>
      <c r="B329" s="8"/>
      <c r="C329" s="8"/>
      <c r="D329" s="8"/>
      <c r="E329" s="9"/>
    </row>
    <row r="330">
      <c r="A330" s="8"/>
      <c r="B330" s="8"/>
      <c r="C330" s="8"/>
      <c r="D330" s="8"/>
      <c r="E330" s="9"/>
    </row>
    <row r="331">
      <c r="A331" s="8"/>
      <c r="B331" s="8"/>
      <c r="C331" s="8"/>
      <c r="D331" s="8"/>
      <c r="E331" s="9"/>
    </row>
    <row r="332">
      <c r="A332" s="8"/>
      <c r="B332" s="8"/>
      <c r="C332" s="8"/>
      <c r="D332" s="8"/>
      <c r="E332" s="9"/>
    </row>
    <row r="333">
      <c r="A333" s="8"/>
      <c r="B333" s="8"/>
      <c r="C333" s="8"/>
      <c r="D333" s="8"/>
      <c r="E333" s="9"/>
    </row>
    <row r="334">
      <c r="A334" s="8"/>
      <c r="B334" s="8"/>
      <c r="C334" s="8"/>
      <c r="D334" s="8"/>
      <c r="E334" s="9"/>
    </row>
    <row r="335">
      <c r="A335" s="8"/>
      <c r="B335" s="8"/>
      <c r="C335" s="8"/>
      <c r="D335" s="8"/>
      <c r="E335" s="9"/>
    </row>
    <row r="336">
      <c r="A336" s="8"/>
      <c r="B336" s="8"/>
      <c r="C336" s="8"/>
      <c r="D336" s="8"/>
      <c r="E336" s="9"/>
    </row>
    <row r="337">
      <c r="A337" s="8"/>
      <c r="B337" s="8"/>
      <c r="C337" s="8"/>
      <c r="D337" s="8"/>
      <c r="E337" s="9"/>
    </row>
    <row r="338">
      <c r="A338" s="8"/>
      <c r="B338" s="8"/>
      <c r="C338" s="8"/>
      <c r="D338" s="8"/>
      <c r="E338" s="9"/>
    </row>
    <row r="339">
      <c r="A339" s="8"/>
      <c r="B339" s="8"/>
      <c r="C339" s="8"/>
      <c r="D339" s="8"/>
      <c r="E339" s="9"/>
    </row>
    <row r="340">
      <c r="A340" s="8"/>
      <c r="B340" s="8"/>
      <c r="C340" s="8"/>
      <c r="D340" s="8"/>
      <c r="E340" s="9"/>
    </row>
    <row r="341">
      <c r="A341" s="8"/>
      <c r="B341" s="8"/>
      <c r="C341" s="8"/>
      <c r="D341" s="8"/>
      <c r="E341" s="9"/>
    </row>
    <row r="342">
      <c r="A342" s="8"/>
      <c r="B342" s="8"/>
      <c r="C342" s="8"/>
      <c r="D342" s="8"/>
      <c r="E342" s="9"/>
    </row>
    <row r="343">
      <c r="A343" s="8"/>
      <c r="B343" s="8"/>
      <c r="C343" s="8"/>
      <c r="D343" s="8"/>
      <c r="E343" s="9"/>
    </row>
    <row r="344">
      <c r="A344" s="8"/>
      <c r="B344" s="8"/>
      <c r="C344" s="8"/>
      <c r="D344" s="8"/>
      <c r="E344" s="9"/>
    </row>
    <row r="345">
      <c r="A345" s="8"/>
      <c r="B345" s="8"/>
      <c r="C345" s="8"/>
      <c r="D345" s="8"/>
      <c r="E345" s="9"/>
    </row>
    <row r="346">
      <c r="A346" s="8"/>
      <c r="B346" s="8"/>
      <c r="C346" s="8"/>
      <c r="D346" s="8"/>
      <c r="E346" s="9"/>
    </row>
    <row r="347">
      <c r="A347" s="8"/>
      <c r="B347" s="8"/>
      <c r="C347" s="8"/>
      <c r="D347" s="8"/>
      <c r="E347" s="9"/>
    </row>
    <row r="348">
      <c r="A348" s="8"/>
      <c r="B348" s="8"/>
      <c r="C348" s="8"/>
      <c r="D348" s="8"/>
      <c r="E348" s="9"/>
    </row>
    <row r="349">
      <c r="A349" s="8"/>
      <c r="B349" s="8"/>
      <c r="C349" s="8"/>
      <c r="D349" s="8"/>
      <c r="E349" s="9"/>
    </row>
    <row r="350">
      <c r="A350" s="8"/>
      <c r="B350" s="8"/>
      <c r="C350" s="8"/>
      <c r="D350" s="8"/>
      <c r="E350" s="9"/>
    </row>
    <row r="351">
      <c r="A351" s="8"/>
      <c r="B351" s="8"/>
      <c r="C351" s="8"/>
      <c r="D351" s="8"/>
      <c r="E351" s="9"/>
    </row>
    <row r="352">
      <c r="A352" s="8"/>
      <c r="B352" s="8"/>
      <c r="C352" s="8"/>
      <c r="D352" s="8"/>
      <c r="E352" s="9"/>
    </row>
    <row r="353">
      <c r="A353" s="8"/>
      <c r="B353" s="8"/>
      <c r="C353" s="8"/>
      <c r="D353" s="8"/>
      <c r="E353" s="9"/>
    </row>
    <row r="354">
      <c r="A354" s="8"/>
      <c r="B354" s="8"/>
      <c r="C354" s="8"/>
      <c r="D354" s="8"/>
      <c r="E354" s="9"/>
    </row>
    <row r="355">
      <c r="A355" s="8"/>
      <c r="B355" s="8"/>
      <c r="C355" s="8"/>
      <c r="D355" s="8"/>
      <c r="E355" s="9"/>
    </row>
    <row r="356">
      <c r="A356" s="8"/>
      <c r="B356" s="8"/>
      <c r="C356" s="8"/>
      <c r="D356" s="8"/>
      <c r="E356" s="9"/>
    </row>
    <row r="357">
      <c r="A357" s="8"/>
      <c r="B357" s="8"/>
      <c r="C357" s="8"/>
      <c r="D357" s="8"/>
      <c r="E357" s="9"/>
    </row>
    <row r="358">
      <c r="A358" s="8"/>
      <c r="B358" s="8"/>
      <c r="C358" s="8"/>
      <c r="D358" s="8"/>
      <c r="E358" s="9"/>
    </row>
    <row r="359">
      <c r="A359" s="8"/>
      <c r="B359" s="8"/>
      <c r="C359" s="8"/>
      <c r="D359" s="8"/>
      <c r="E359" s="9"/>
    </row>
    <row r="360">
      <c r="A360" s="8"/>
      <c r="B360" s="8"/>
      <c r="C360" s="8"/>
      <c r="D360" s="8"/>
      <c r="E360" s="9"/>
    </row>
    <row r="361">
      <c r="A361" s="8"/>
      <c r="B361" s="8"/>
      <c r="C361" s="8"/>
      <c r="D361" s="8"/>
      <c r="E361" s="9"/>
    </row>
    <row r="362">
      <c r="A362" s="8"/>
      <c r="B362" s="8"/>
      <c r="C362" s="8"/>
      <c r="D362" s="8"/>
      <c r="E362" s="9"/>
    </row>
    <row r="363">
      <c r="A363" s="8"/>
      <c r="B363" s="8"/>
      <c r="C363" s="8"/>
      <c r="D363" s="8"/>
      <c r="E363" s="9"/>
    </row>
    <row r="364">
      <c r="A364" s="8"/>
      <c r="B364" s="8"/>
      <c r="C364" s="8"/>
      <c r="D364" s="8"/>
      <c r="E364" s="9"/>
    </row>
    <row r="365">
      <c r="A365" s="8"/>
      <c r="B365" s="8"/>
      <c r="C365" s="8"/>
      <c r="D365" s="8"/>
      <c r="E365" s="9"/>
    </row>
    <row r="366">
      <c r="A366" s="8"/>
      <c r="B366" s="8"/>
      <c r="C366" s="8"/>
      <c r="D366" s="8"/>
      <c r="E366" s="9"/>
    </row>
    <row r="367">
      <c r="A367" s="8"/>
      <c r="B367" s="8"/>
      <c r="C367" s="8"/>
      <c r="D367" s="8"/>
      <c r="E367" s="9"/>
    </row>
    <row r="368">
      <c r="A368" s="8"/>
      <c r="B368" s="8"/>
      <c r="C368" s="8"/>
      <c r="D368" s="8"/>
      <c r="E368" s="9"/>
    </row>
    <row r="369">
      <c r="A369" s="8"/>
      <c r="B369" s="8"/>
      <c r="C369" s="8"/>
      <c r="D369" s="8"/>
      <c r="E369" s="9"/>
    </row>
    <row r="370">
      <c r="A370" s="8"/>
      <c r="B370" s="8"/>
      <c r="C370" s="8"/>
      <c r="D370" s="8"/>
      <c r="E370" s="9"/>
    </row>
    <row r="371">
      <c r="A371" s="8"/>
      <c r="B371" s="8"/>
      <c r="C371" s="8"/>
      <c r="D371" s="8"/>
      <c r="E371" s="9"/>
    </row>
    <row r="372">
      <c r="A372" s="8"/>
      <c r="B372" s="8"/>
      <c r="C372" s="8"/>
      <c r="D372" s="8"/>
      <c r="E372" s="9"/>
    </row>
    <row r="373">
      <c r="A373" s="8"/>
      <c r="B373" s="8"/>
      <c r="C373" s="8"/>
      <c r="D373" s="8"/>
      <c r="E373" s="9"/>
    </row>
    <row r="374">
      <c r="A374" s="8"/>
      <c r="B374" s="8"/>
      <c r="C374" s="8"/>
      <c r="D374" s="8"/>
      <c r="E374" s="9"/>
    </row>
    <row r="375">
      <c r="A375" s="8"/>
      <c r="B375" s="8"/>
      <c r="C375" s="8"/>
      <c r="D375" s="8"/>
      <c r="E375" s="9"/>
    </row>
    <row r="376">
      <c r="A376" s="8"/>
      <c r="B376" s="8"/>
      <c r="C376" s="8"/>
      <c r="D376" s="8"/>
      <c r="E376" s="9"/>
    </row>
    <row r="377">
      <c r="A377" s="8"/>
      <c r="B377" s="8"/>
      <c r="C377" s="8"/>
      <c r="D377" s="8"/>
      <c r="E377" s="9"/>
    </row>
    <row r="378">
      <c r="A378" s="8"/>
      <c r="B378" s="8"/>
      <c r="C378" s="8"/>
      <c r="D378" s="8"/>
      <c r="E378" s="9"/>
    </row>
    <row r="379">
      <c r="A379" s="8"/>
      <c r="B379" s="8"/>
      <c r="C379" s="8"/>
      <c r="D379" s="8"/>
      <c r="E379" s="9"/>
    </row>
    <row r="380">
      <c r="A380" s="8"/>
      <c r="B380" s="8"/>
      <c r="C380" s="8"/>
      <c r="D380" s="8"/>
      <c r="E380" s="9"/>
    </row>
    <row r="381">
      <c r="A381" s="8"/>
      <c r="B381" s="8"/>
      <c r="C381" s="8"/>
      <c r="D381" s="8"/>
      <c r="E381" s="9"/>
    </row>
    <row r="382">
      <c r="A382" s="8"/>
      <c r="B382" s="8"/>
      <c r="C382" s="8"/>
      <c r="D382" s="8"/>
      <c r="E382" s="9"/>
    </row>
    <row r="383">
      <c r="A383" s="8"/>
      <c r="B383" s="8"/>
      <c r="C383" s="8"/>
      <c r="D383" s="8"/>
      <c r="E383" s="9"/>
    </row>
    <row r="384">
      <c r="A384" s="8"/>
      <c r="B384" s="8"/>
      <c r="C384" s="8"/>
      <c r="D384" s="8"/>
      <c r="E384" s="9"/>
    </row>
    <row r="385">
      <c r="A385" s="8"/>
      <c r="B385" s="8"/>
      <c r="C385" s="8"/>
      <c r="D385" s="8"/>
      <c r="E385" s="9"/>
    </row>
    <row r="386">
      <c r="A386" s="8"/>
      <c r="B386" s="8"/>
      <c r="C386" s="8"/>
      <c r="D386" s="8"/>
      <c r="E386" s="9"/>
    </row>
    <row r="387">
      <c r="A387" s="8"/>
      <c r="B387" s="8"/>
      <c r="C387" s="8"/>
      <c r="D387" s="8"/>
      <c r="E387" s="9"/>
    </row>
    <row r="388">
      <c r="A388" s="8"/>
      <c r="B388" s="8"/>
      <c r="C388" s="8"/>
      <c r="D388" s="8"/>
      <c r="E388" s="9"/>
    </row>
    <row r="389">
      <c r="A389" s="8"/>
      <c r="B389" s="8"/>
      <c r="C389" s="8"/>
      <c r="D389" s="8"/>
      <c r="E389" s="9"/>
    </row>
    <row r="390">
      <c r="A390" s="8"/>
      <c r="B390" s="8"/>
      <c r="C390" s="8"/>
      <c r="D390" s="8"/>
      <c r="E390" s="9"/>
    </row>
    <row r="391">
      <c r="A391" s="8"/>
      <c r="B391" s="8"/>
      <c r="C391" s="8"/>
      <c r="D391" s="8"/>
      <c r="E391" s="9"/>
    </row>
    <row r="392">
      <c r="A392" s="8"/>
      <c r="B392" s="8"/>
      <c r="C392" s="8"/>
      <c r="D392" s="8"/>
      <c r="E392" s="9"/>
    </row>
    <row r="393">
      <c r="A393" s="8"/>
      <c r="B393" s="8"/>
      <c r="C393" s="8"/>
      <c r="D393" s="8"/>
      <c r="E393" s="9"/>
    </row>
    <row r="394">
      <c r="A394" s="8"/>
      <c r="B394" s="8"/>
      <c r="C394" s="8"/>
      <c r="D394" s="8"/>
      <c r="E394" s="9"/>
    </row>
    <row r="395">
      <c r="A395" s="8"/>
      <c r="B395" s="8"/>
      <c r="C395" s="8"/>
      <c r="D395" s="8"/>
      <c r="E395" s="9"/>
    </row>
    <row r="396">
      <c r="A396" s="8"/>
      <c r="B396" s="8"/>
      <c r="C396" s="8"/>
      <c r="D396" s="8"/>
      <c r="E396" s="9"/>
    </row>
    <row r="397">
      <c r="A397" s="8"/>
      <c r="B397" s="8"/>
      <c r="C397" s="8"/>
      <c r="D397" s="8"/>
      <c r="E397" s="9"/>
    </row>
    <row r="398">
      <c r="A398" s="8"/>
      <c r="B398" s="8"/>
      <c r="C398" s="8"/>
      <c r="D398" s="8"/>
      <c r="E398" s="9"/>
    </row>
    <row r="399">
      <c r="A399" s="8"/>
      <c r="B399" s="8"/>
      <c r="C399" s="8"/>
      <c r="D399" s="8"/>
      <c r="E399" s="9"/>
    </row>
    <row r="400">
      <c r="A400" s="8"/>
      <c r="B400" s="8"/>
      <c r="C400" s="8"/>
      <c r="D400" s="8"/>
      <c r="E400" s="9"/>
    </row>
    <row r="401">
      <c r="A401" s="8"/>
      <c r="B401" s="8"/>
      <c r="C401" s="8"/>
      <c r="D401" s="8"/>
      <c r="E401" s="9"/>
    </row>
    <row r="402">
      <c r="A402" s="8"/>
      <c r="B402" s="8"/>
      <c r="C402" s="8"/>
      <c r="D402" s="8"/>
      <c r="E402" s="9"/>
    </row>
    <row r="403">
      <c r="A403" s="8"/>
      <c r="B403" s="8"/>
      <c r="C403" s="8"/>
      <c r="D403" s="8"/>
      <c r="E403" s="9"/>
    </row>
    <row r="404">
      <c r="A404" s="8"/>
      <c r="B404" s="8"/>
      <c r="C404" s="8"/>
      <c r="D404" s="8"/>
      <c r="E404" s="9"/>
    </row>
    <row r="405">
      <c r="A405" s="8"/>
      <c r="B405" s="8"/>
      <c r="C405" s="8"/>
      <c r="D405" s="8"/>
      <c r="E405" s="9"/>
    </row>
    <row r="406">
      <c r="A406" s="8"/>
      <c r="B406" s="8"/>
      <c r="C406" s="8"/>
      <c r="D406" s="8"/>
      <c r="E406" s="9"/>
    </row>
    <row r="407">
      <c r="A407" s="8"/>
      <c r="B407" s="8"/>
      <c r="C407" s="8"/>
      <c r="D407" s="8"/>
      <c r="E407" s="9"/>
    </row>
    <row r="408">
      <c r="A408" s="8"/>
      <c r="B408" s="8"/>
      <c r="C408" s="8"/>
      <c r="D408" s="8"/>
      <c r="E408" s="9"/>
    </row>
    <row r="409">
      <c r="A409" s="8"/>
      <c r="B409" s="8"/>
      <c r="C409" s="8"/>
      <c r="D409" s="8"/>
      <c r="E409" s="9"/>
    </row>
    <row r="410">
      <c r="A410" s="8"/>
      <c r="B410" s="8"/>
      <c r="C410" s="8"/>
      <c r="D410" s="8"/>
      <c r="E410" s="9"/>
    </row>
    <row r="411">
      <c r="A411" s="8"/>
      <c r="B411" s="8"/>
      <c r="C411" s="8"/>
      <c r="D411" s="8"/>
      <c r="E411" s="9"/>
    </row>
    <row r="412">
      <c r="A412" s="8"/>
      <c r="B412" s="8"/>
      <c r="C412" s="8"/>
      <c r="D412" s="8"/>
      <c r="E412" s="9"/>
    </row>
    <row r="413">
      <c r="A413" s="8"/>
      <c r="B413" s="8"/>
      <c r="C413" s="8"/>
      <c r="D413" s="8"/>
      <c r="E413" s="9"/>
    </row>
    <row r="414">
      <c r="A414" s="8"/>
      <c r="B414" s="8"/>
      <c r="C414" s="8"/>
      <c r="D414" s="8"/>
      <c r="E414" s="9"/>
    </row>
    <row r="415">
      <c r="A415" s="8"/>
      <c r="B415" s="8"/>
      <c r="C415" s="8"/>
      <c r="D415" s="8"/>
      <c r="E415" s="9"/>
    </row>
    <row r="416">
      <c r="A416" s="8"/>
      <c r="B416" s="8"/>
      <c r="C416" s="8"/>
      <c r="D416" s="8"/>
      <c r="E416" s="9"/>
    </row>
    <row r="417">
      <c r="A417" s="8"/>
      <c r="B417" s="8"/>
      <c r="C417" s="8"/>
      <c r="D417" s="8"/>
      <c r="E417" s="9"/>
    </row>
    <row r="418">
      <c r="A418" s="8"/>
      <c r="B418" s="8"/>
      <c r="C418" s="8"/>
      <c r="D418" s="8"/>
      <c r="E418" s="9"/>
    </row>
    <row r="419">
      <c r="A419" s="8"/>
      <c r="B419" s="8"/>
      <c r="C419" s="8"/>
      <c r="D419" s="8"/>
      <c r="E419" s="9"/>
    </row>
    <row r="420">
      <c r="A420" s="8"/>
      <c r="B420" s="8"/>
      <c r="C420" s="8"/>
      <c r="D420" s="8"/>
      <c r="E420" s="9"/>
    </row>
    <row r="421">
      <c r="A421" s="8"/>
      <c r="B421" s="8"/>
      <c r="C421" s="8"/>
      <c r="D421" s="8"/>
      <c r="E421" s="9"/>
    </row>
    <row r="422">
      <c r="A422" s="8"/>
      <c r="B422" s="8"/>
      <c r="C422" s="8"/>
      <c r="D422" s="8"/>
      <c r="E422" s="9"/>
    </row>
    <row r="423">
      <c r="A423" s="8"/>
      <c r="B423" s="8"/>
      <c r="C423" s="8"/>
      <c r="D423" s="8"/>
      <c r="E423" s="9"/>
    </row>
    <row r="424">
      <c r="A424" s="8"/>
      <c r="B424" s="8"/>
      <c r="C424" s="8"/>
      <c r="D424" s="8"/>
      <c r="E424" s="9"/>
    </row>
    <row r="425">
      <c r="A425" s="8"/>
      <c r="B425" s="8"/>
      <c r="C425" s="8"/>
      <c r="D425" s="8"/>
      <c r="E425" s="9"/>
    </row>
    <row r="426">
      <c r="A426" s="8"/>
      <c r="B426" s="8"/>
      <c r="C426" s="8"/>
      <c r="D426" s="8"/>
      <c r="E426" s="9"/>
    </row>
    <row r="427">
      <c r="A427" s="8"/>
      <c r="B427" s="8"/>
      <c r="C427" s="8"/>
      <c r="D427" s="8"/>
      <c r="E427" s="9"/>
    </row>
    <row r="428">
      <c r="A428" s="8"/>
      <c r="B428" s="8"/>
      <c r="C428" s="8"/>
      <c r="D428" s="8"/>
      <c r="E428" s="9"/>
    </row>
    <row r="429">
      <c r="A429" s="8"/>
      <c r="B429" s="8"/>
      <c r="C429" s="8"/>
      <c r="D429" s="8"/>
      <c r="E429" s="9"/>
    </row>
    <row r="430">
      <c r="A430" s="8"/>
      <c r="B430" s="8"/>
      <c r="C430" s="8"/>
      <c r="D430" s="8"/>
      <c r="E430" s="9"/>
    </row>
    <row r="431">
      <c r="A431" s="8"/>
      <c r="B431" s="8"/>
      <c r="C431" s="8"/>
      <c r="D431" s="8"/>
      <c r="E431" s="9"/>
    </row>
    <row r="432">
      <c r="A432" s="8"/>
      <c r="B432" s="8"/>
      <c r="C432" s="8"/>
      <c r="D432" s="8"/>
      <c r="E432" s="9"/>
    </row>
    <row r="433">
      <c r="A433" s="8"/>
      <c r="B433" s="8"/>
      <c r="C433" s="8"/>
      <c r="D433" s="8"/>
      <c r="E433" s="9"/>
    </row>
    <row r="434">
      <c r="A434" s="8"/>
      <c r="B434" s="8"/>
      <c r="C434" s="8"/>
      <c r="D434" s="8"/>
      <c r="E434" s="9"/>
    </row>
    <row r="435">
      <c r="A435" s="8"/>
      <c r="B435" s="8"/>
      <c r="C435" s="8"/>
      <c r="D435" s="8"/>
      <c r="E435" s="9"/>
    </row>
    <row r="436">
      <c r="A436" s="8"/>
      <c r="B436" s="8"/>
      <c r="C436" s="8"/>
      <c r="D436" s="8"/>
      <c r="E436" s="9"/>
    </row>
    <row r="437">
      <c r="A437" s="8"/>
      <c r="B437" s="8"/>
      <c r="C437" s="8"/>
      <c r="D437" s="8"/>
      <c r="E437" s="9"/>
    </row>
    <row r="438">
      <c r="A438" s="8"/>
      <c r="B438" s="8"/>
      <c r="C438" s="8"/>
      <c r="D438" s="8"/>
      <c r="E438" s="9"/>
    </row>
    <row r="439">
      <c r="A439" s="8"/>
      <c r="B439" s="8"/>
      <c r="C439" s="8"/>
      <c r="D439" s="8"/>
      <c r="E439" s="9"/>
    </row>
    <row r="440">
      <c r="A440" s="8"/>
      <c r="B440" s="8"/>
      <c r="C440" s="8"/>
      <c r="D440" s="8"/>
      <c r="E440" s="9"/>
    </row>
    <row r="441">
      <c r="A441" s="8"/>
      <c r="B441" s="8"/>
      <c r="C441" s="8"/>
      <c r="D441" s="8"/>
      <c r="E441" s="9"/>
    </row>
    <row r="442">
      <c r="A442" s="8"/>
      <c r="B442" s="8"/>
      <c r="C442" s="8"/>
      <c r="D442" s="8"/>
      <c r="E442" s="9"/>
    </row>
    <row r="443">
      <c r="A443" s="8"/>
      <c r="B443" s="8"/>
      <c r="C443" s="8"/>
      <c r="D443" s="8"/>
      <c r="E443" s="9"/>
    </row>
    <row r="444">
      <c r="A444" s="8"/>
      <c r="B444" s="8"/>
      <c r="C444" s="8"/>
      <c r="D444" s="8"/>
      <c r="E444" s="9"/>
    </row>
    <row r="445">
      <c r="A445" s="8"/>
      <c r="B445" s="8"/>
      <c r="C445" s="8"/>
      <c r="D445" s="8"/>
      <c r="E445" s="9"/>
    </row>
    <row r="446">
      <c r="A446" s="8"/>
      <c r="B446" s="8"/>
      <c r="C446" s="8"/>
      <c r="D446" s="8"/>
      <c r="E446" s="9"/>
    </row>
    <row r="447">
      <c r="A447" s="8"/>
      <c r="B447" s="8"/>
      <c r="C447" s="8"/>
      <c r="D447" s="8"/>
      <c r="E447" s="9"/>
    </row>
    <row r="448">
      <c r="A448" s="8"/>
      <c r="B448" s="8"/>
      <c r="C448" s="8"/>
      <c r="D448" s="8"/>
      <c r="E448" s="9"/>
    </row>
    <row r="449">
      <c r="A449" s="8"/>
      <c r="B449" s="8"/>
      <c r="C449" s="8"/>
      <c r="D449" s="8"/>
      <c r="E449" s="9"/>
    </row>
    <row r="450">
      <c r="A450" s="8"/>
      <c r="B450" s="8"/>
      <c r="C450" s="8"/>
      <c r="D450" s="8"/>
      <c r="E450" s="9"/>
    </row>
    <row r="451">
      <c r="A451" s="8"/>
      <c r="B451" s="8"/>
      <c r="C451" s="8"/>
      <c r="D451" s="8"/>
      <c r="E451" s="9"/>
    </row>
    <row r="452">
      <c r="A452" s="8"/>
      <c r="B452" s="8"/>
      <c r="C452" s="8"/>
      <c r="D452" s="8"/>
      <c r="E452" s="9"/>
    </row>
    <row r="453">
      <c r="A453" s="8"/>
      <c r="B453" s="8"/>
      <c r="C453" s="8"/>
      <c r="D453" s="8"/>
      <c r="E453" s="9"/>
    </row>
    <row r="454">
      <c r="A454" s="8"/>
      <c r="B454" s="8"/>
      <c r="C454" s="8"/>
      <c r="D454" s="8"/>
      <c r="E454" s="9"/>
    </row>
    <row r="455">
      <c r="A455" s="8"/>
      <c r="B455" s="8"/>
      <c r="C455" s="8"/>
      <c r="D455" s="8"/>
      <c r="E455" s="9"/>
    </row>
    <row r="456">
      <c r="A456" s="8"/>
      <c r="B456" s="8"/>
      <c r="C456" s="8"/>
      <c r="D456" s="8"/>
      <c r="E456" s="9"/>
    </row>
    <row r="457">
      <c r="A457" s="8"/>
      <c r="B457" s="8"/>
      <c r="C457" s="8"/>
      <c r="D457" s="8"/>
      <c r="E457" s="9"/>
    </row>
    <row r="458">
      <c r="A458" s="8"/>
      <c r="B458" s="8"/>
      <c r="C458" s="8"/>
      <c r="D458" s="8"/>
      <c r="E458" s="9"/>
    </row>
    <row r="459">
      <c r="A459" s="8"/>
      <c r="B459" s="8"/>
      <c r="C459" s="8"/>
      <c r="D459" s="8"/>
      <c r="E459" s="9"/>
    </row>
    <row r="460">
      <c r="A460" s="8"/>
      <c r="B460" s="8"/>
      <c r="C460" s="8"/>
      <c r="D460" s="8"/>
      <c r="E460" s="9"/>
    </row>
    <row r="461">
      <c r="A461" s="8"/>
      <c r="B461" s="8"/>
      <c r="C461" s="8"/>
      <c r="D461" s="8"/>
      <c r="E461" s="9"/>
    </row>
    <row r="462">
      <c r="A462" s="8"/>
      <c r="B462" s="8"/>
      <c r="C462" s="8"/>
      <c r="D462" s="8"/>
      <c r="E462" s="9"/>
    </row>
    <row r="463">
      <c r="A463" s="8"/>
      <c r="B463" s="8"/>
      <c r="C463" s="8"/>
      <c r="D463" s="8"/>
      <c r="E463" s="9"/>
    </row>
    <row r="464">
      <c r="A464" s="8"/>
      <c r="B464" s="8"/>
      <c r="C464" s="8"/>
      <c r="D464" s="8"/>
      <c r="E464" s="9"/>
    </row>
    <row r="465">
      <c r="A465" s="8"/>
      <c r="B465" s="8"/>
      <c r="C465" s="8"/>
      <c r="D465" s="8"/>
      <c r="E465" s="9"/>
    </row>
    <row r="466">
      <c r="A466" s="8"/>
      <c r="B466" s="8"/>
      <c r="C466" s="8"/>
      <c r="D466" s="8"/>
      <c r="E466" s="9"/>
    </row>
    <row r="467">
      <c r="A467" s="8"/>
      <c r="B467" s="8"/>
      <c r="C467" s="8"/>
      <c r="D467" s="8"/>
      <c r="E467" s="9"/>
    </row>
    <row r="468">
      <c r="A468" s="8"/>
      <c r="B468" s="8"/>
      <c r="C468" s="8"/>
      <c r="D468" s="8"/>
      <c r="E468" s="9"/>
    </row>
    <row r="469">
      <c r="A469" s="8"/>
      <c r="B469" s="8"/>
      <c r="C469" s="8"/>
      <c r="D469" s="8"/>
      <c r="E469" s="9"/>
    </row>
    <row r="470">
      <c r="A470" s="8"/>
      <c r="B470" s="8"/>
      <c r="C470" s="8"/>
      <c r="D470" s="8"/>
      <c r="E470" s="9"/>
    </row>
    <row r="471">
      <c r="A471" s="8"/>
      <c r="B471" s="8"/>
      <c r="C471" s="8"/>
      <c r="D471" s="8"/>
      <c r="E471" s="9"/>
    </row>
    <row r="472">
      <c r="A472" s="8"/>
      <c r="B472" s="8"/>
      <c r="C472" s="8"/>
      <c r="D472" s="8"/>
      <c r="E472" s="9"/>
    </row>
    <row r="473">
      <c r="A473" s="8"/>
      <c r="B473" s="8"/>
      <c r="C473" s="8"/>
      <c r="D473" s="8"/>
      <c r="E473" s="9"/>
    </row>
    <row r="474">
      <c r="A474" s="8"/>
      <c r="B474" s="8"/>
      <c r="C474" s="8"/>
      <c r="D474" s="8"/>
      <c r="E474" s="9"/>
    </row>
    <row r="475">
      <c r="A475" s="8"/>
      <c r="B475" s="8"/>
      <c r="C475" s="8"/>
      <c r="D475" s="8"/>
      <c r="E475" s="9"/>
    </row>
    <row r="476">
      <c r="A476" s="8"/>
      <c r="B476" s="8"/>
      <c r="C476" s="8"/>
      <c r="D476" s="8"/>
      <c r="E476" s="9"/>
    </row>
    <row r="477">
      <c r="A477" s="8"/>
      <c r="B477" s="8"/>
      <c r="C477" s="8"/>
      <c r="D477" s="8"/>
      <c r="E477" s="9"/>
    </row>
    <row r="478">
      <c r="A478" s="8"/>
      <c r="B478" s="8"/>
      <c r="C478" s="8"/>
      <c r="D478" s="8"/>
      <c r="E478" s="9"/>
    </row>
    <row r="479">
      <c r="A479" s="8"/>
      <c r="B479" s="8"/>
      <c r="C479" s="8"/>
      <c r="D479" s="8"/>
      <c r="E479" s="9"/>
    </row>
    <row r="480">
      <c r="A480" s="8"/>
      <c r="B480" s="8"/>
      <c r="C480" s="8"/>
      <c r="D480" s="8"/>
      <c r="E480" s="9"/>
    </row>
    <row r="481">
      <c r="A481" s="8"/>
      <c r="B481" s="8"/>
      <c r="C481" s="8"/>
      <c r="D481" s="8"/>
      <c r="E481" s="9"/>
    </row>
    <row r="482">
      <c r="A482" s="8"/>
      <c r="B482" s="8"/>
      <c r="C482" s="8"/>
      <c r="D482" s="8"/>
      <c r="E482" s="9"/>
    </row>
    <row r="483">
      <c r="A483" s="8"/>
      <c r="B483" s="8"/>
      <c r="C483" s="8"/>
      <c r="D483" s="8"/>
      <c r="E483" s="9"/>
    </row>
    <row r="484">
      <c r="A484" s="8"/>
      <c r="B484" s="8"/>
      <c r="C484" s="8"/>
      <c r="D484" s="8"/>
      <c r="E484" s="9"/>
    </row>
    <row r="485">
      <c r="A485" s="8"/>
      <c r="B485" s="8"/>
      <c r="C485" s="8"/>
      <c r="D485" s="8"/>
      <c r="E485" s="9"/>
    </row>
    <row r="486">
      <c r="A486" s="8"/>
      <c r="B486" s="8"/>
      <c r="C486" s="8"/>
      <c r="D486" s="8"/>
      <c r="E486" s="9"/>
    </row>
    <row r="487">
      <c r="A487" s="8"/>
      <c r="B487" s="8"/>
      <c r="C487" s="8"/>
      <c r="D487" s="8"/>
      <c r="E487" s="9"/>
    </row>
    <row r="488">
      <c r="A488" s="8"/>
      <c r="B488" s="8"/>
      <c r="C488" s="8"/>
      <c r="D488" s="8"/>
      <c r="E488" s="9"/>
    </row>
    <row r="489">
      <c r="A489" s="8"/>
      <c r="B489" s="8"/>
      <c r="C489" s="8"/>
      <c r="D489" s="8"/>
      <c r="E489" s="9"/>
    </row>
    <row r="490">
      <c r="A490" s="8"/>
      <c r="B490" s="8"/>
      <c r="C490" s="8"/>
      <c r="D490" s="8"/>
      <c r="E490" s="9"/>
    </row>
    <row r="491">
      <c r="A491" s="8"/>
      <c r="B491" s="8"/>
      <c r="C491" s="8"/>
      <c r="D491" s="8"/>
      <c r="E491" s="9"/>
    </row>
    <row r="492">
      <c r="A492" s="8"/>
      <c r="B492" s="8"/>
      <c r="C492" s="8"/>
      <c r="D492" s="8"/>
      <c r="E492" s="9"/>
    </row>
    <row r="493">
      <c r="A493" s="8"/>
      <c r="B493" s="8"/>
      <c r="C493" s="8"/>
      <c r="D493" s="8"/>
      <c r="E493" s="9"/>
    </row>
    <row r="494">
      <c r="A494" s="8"/>
      <c r="B494" s="8"/>
      <c r="C494" s="8"/>
      <c r="D494" s="8"/>
      <c r="E494" s="9"/>
    </row>
    <row r="495">
      <c r="A495" s="8"/>
      <c r="B495" s="8"/>
      <c r="C495" s="8"/>
      <c r="D495" s="8"/>
      <c r="E495" s="9"/>
    </row>
    <row r="496">
      <c r="A496" s="8"/>
      <c r="B496" s="8"/>
      <c r="C496" s="8"/>
      <c r="D496" s="8"/>
      <c r="E496" s="9"/>
    </row>
    <row r="497">
      <c r="A497" s="8"/>
      <c r="B497" s="8"/>
      <c r="C497" s="8"/>
      <c r="D497" s="8"/>
      <c r="E497" s="9"/>
    </row>
    <row r="498">
      <c r="A498" s="8"/>
      <c r="B498" s="8"/>
      <c r="C498" s="8"/>
      <c r="D498" s="8"/>
      <c r="E498" s="9"/>
    </row>
    <row r="499">
      <c r="A499" s="8"/>
      <c r="B499" s="8"/>
      <c r="C499" s="8"/>
      <c r="D499" s="8"/>
      <c r="E499" s="9"/>
    </row>
    <row r="500">
      <c r="A500" s="8"/>
      <c r="B500" s="8"/>
      <c r="C500" s="8"/>
      <c r="D500" s="8"/>
      <c r="E500" s="9"/>
    </row>
    <row r="501">
      <c r="A501" s="8"/>
      <c r="B501" s="8"/>
      <c r="C501" s="8"/>
      <c r="D501" s="8"/>
      <c r="E501" s="9"/>
    </row>
    <row r="502">
      <c r="A502" s="8"/>
      <c r="B502" s="8"/>
      <c r="C502" s="8"/>
      <c r="D502" s="8"/>
      <c r="E502" s="9"/>
    </row>
    <row r="503">
      <c r="A503" s="8"/>
      <c r="B503" s="8"/>
      <c r="C503" s="8"/>
      <c r="D503" s="8"/>
      <c r="E503" s="9"/>
    </row>
    <row r="504">
      <c r="A504" s="8"/>
      <c r="B504" s="8"/>
      <c r="C504" s="8"/>
      <c r="D504" s="8"/>
      <c r="E504" s="9"/>
    </row>
    <row r="505">
      <c r="A505" s="8"/>
      <c r="B505" s="8"/>
      <c r="C505" s="8"/>
      <c r="D505" s="8"/>
      <c r="E505" s="9"/>
    </row>
    <row r="506">
      <c r="A506" s="8"/>
      <c r="B506" s="8"/>
      <c r="C506" s="8"/>
      <c r="D506" s="8"/>
      <c r="E506" s="9"/>
    </row>
    <row r="507">
      <c r="A507" s="8"/>
      <c r="B507" s="8"/>
      <c r="C507" s="8"/>
      <c r="D507" s="8"/>
      <c r="E507" s="9"/>
    </row>
    <row r="508">
      <c r="A508" s="8"/>
      <c r="B508" s="8"/>
      <c r="C508" s="8"/>
      <c r="D508" s="8"/>
      <c r="E508" s="9"/>
    </row>
    <row r="509">
      <c r="A509" s="8"/>
      <c r="B509" s="8"/>
      <c r="C509" s="8"/>
      <c r="D509" s="8"/>
      <c r="E509" s="9"/>
    </row>
    <row r="510">
      <c r="A510" s="8"/>
      <c r="B510" s="8"/>
      <c r="C510" s="8"/>
      <c r="D510" s="8"/>
      <c r="E510" s="9"/>
    </row>
    <row r="511">
      <c r="A511" s="8"/>
      <c r="B511" s="8"/>
      <c r="C511" s="8"/>
      <c r="D511" s="8"/>
      <c r="E511" s="9"/>
    </row>
    <row r="512">
      <c r="A512" s="8"/>
      <c r="B512" s="8"/>
      <c r="C512" s="8"/>
      <c r="D512" s="8"/>
      <c r="E512" s="9"/>
    </row>
    <row r="513">
      <c r="A513" s="8"/>
      <c r="B513" s="8"/>
      <c r="C513" s="8"/>
      <c r="D513" s="8"/>
      <c r="E513" s="9"/>
    </row>
    <row r="514">
      <c r="A514" s="8"/>
      <c r="B514" s="8"/>
      <c r="C514" s="8"/>
      <c r="D514" s="8"/>
      <c r="E514" s="9"/>
    </row>
    <row r="515">
      <c r="A515" s="8"/>
      <c r="B515" s="8"/>
      <c r="C515" s="8"/>
      <c r="D515" s="8"/>
      <c r="E515" s="9"/>
    </row>
    <row r="516">
      <c r="A516" s="8"/>
      <c r="B516" s="8"/>
      <c r="C516" s="8"/>
      <c r="D516" s="8"/>
      <c r="E516" s="9"/>
    </row>
    <row r="517">
      <c r="A517" s="8"/>
      <c r="B517" s="8"/>
      <c r="C517" s="8"/>
      <c r="D517" s="8"/>
      <c r="E517" s="9"/>
    </row>
    <row r="518">
      <c r="A518" s="8"/>
      <c r="B518" s="8"/>
      <c r="C518" s="8"/>
      <c r="D518" s="8"/>
      <c r="E518" s="9"/>
    </row>
    <row r="519">
      <c r="A519" s="8"/>
      <c r="B519" s="8"/>
      <c r="C519" s="8"/>
      <c r="D519" s="8"/>
      <c r="E519" s="9"/>
    </row>
    <row r="520">
      <c r="A520" s="8"/>
      <c r="B520" s="8"/>
      <c r="C520" s="8"/>
      <c r="D520" s="8"/>
      <c r="E520" s="9"/>
    </row>
    <row r="521">
      <c r="A521" s="8"/>
      <c r="B521" s="8"/>
      <c r="C521" s="8"/>
      <c r="D521" s="8"/>
      <c r="E521" s="9"/>
    </row>
    <row r="522">
      <c r="A522" s="8"/>
      <c r="B522" s="8"/>
      <c r="C522" s="8"/>
      <c r="D522" s="8"/>
      <c r="E522" s="9"/>
    </row>
    <row r="523">
      <c r="A523" s="8"/>
      <c r="B523" s="8"/>
      <c r="C523" s="8"/>
      <c r="D523" s="8"/>
      <c r="E523" s="9"/>
    </row>
    <row r="524">
      <c r="A524" s="8"/>
      <c r="B524" s="8"/>
      <c r="C524" s="8"/>
      <c r="D524" s="8"/>
      <c r="E524" s="9"/>
    </row>
    <row r="525">
      <c r="A525" s="8"/>
      <c r="B525" s="8"/>
      <c r="C525" s="8"/>
      <c r="D525" s="8"/>
      <c r="E525" s="9"/>
    </row>
    <row r="526">
      <c r="A526" s="8"/>
      <c r="B526" s="8"/>
      <c r="C526" s="8"/>
      <c r="D526" s="8"/>
      <c r="E526" s="9"/>
    </row>
    <row r="527">
      <c r="A527" s="8"/>
      <c r="B527" s="8"/>
      <c r="C527" s="8"/>
      <c r="D527" s="8"/>
      <c r="E527" s="9"/>
    </row>
    <row r="528">
      <c r="A528" s="8"/>
      <c r="B528" s="8"/>
      <c r="C528" s="8"/>
      <c r="D528" s="8"/>
      <c r="E528" s="9"/>
    </row>
    <row r="529">
      <c r="A529" s="8"/>
      <c r="B529" s="8"/>
      <c r="C529" s="8"/>
      <c r="D529" s="8"/>
      <c r="E529" s="9"/>
    </row>
    <row r="530">
      <c r="A530" s="8"/>
      <c r="B530" s="8"/>
      <c r="C530" s="8"/>
      <c r="D530" s="8"/>
      <c r="E530" s="9"/>
    </row>
    <row r="531">
      <c r="A531" s="8"/>
      <c r="B531" s="8"/>
      <c r="C531" s="8"/>
      <c r="D531" s="8"/>
      <c r="E531" s="9"/>
    </row>
    <row r="532">
      <c r="A532" s="8"/>
      <c r="B532" s="8"/>
      <c r="C532" s="8"/>
      <c r="D532" s="8"/>
      <c r="E532" s="9"/>
    </row>
    <row r="533">
      <c r="A533" s="8"/>
      <c r="B533" s="8"/>
      <c r="C533" s="8"/>
      <c r="D533" s="8"/>
      <c r="E533" s="9"/>
    </row>
    <row r="534">
      <c r="A534" s="8"/>
      <c r="B534" s="8"/>
      <c r="C534" s="8"/>
      <c r="D534" s="8"/>
      <c r="E534" s="9"/>
    </row>
    <row r="535">
      <c r="A535" s="8"/>
      <c r="B535" s="8"/>
      <c r="C535" s="8"/>
      <c r="D535" s="8"/>
      <c r="E535" s="9"/>
    </row>
    <row r="536">
      <c r="A536" s="8"/>
      <c r="B536" s="8"/>
      <c r="C536" s="8"/>
      <c r="D536" s="8"/>
      <c r="E536" s="9"/>
    </row>
    <row r="537">
      <c r="A537" s="8"/>
      <c r="B537" s="8"/>
      <c r="C537" s="8"/>
      <c r="D537" s="8"/>
      <c r="E537" s="9"/>
    </row>
    <row r="538">
      <c r="A538" s="8"/>
      <c r="B538" s="8"/>
      <c r="C538" s="8"/>
      <c r="D538" s="8"/>
      <c r="E538" s="9"/>
    </row>
    <row r="539">
      <c r="A539" s="8"/>
      <c r="B539" s="8"/>
      <c r="C539" s="8"/>
      <c r="D539" s="8"/>
      <c r="E539" s="9"/>
    </row>
    <row r="540">
      <c r="A540" s="8"/>
      <c r="B540" s="8"/>
      <c r="C540" s="8"/>
      <c r="D540" s="8"/>
      <c r="E540" s="9"/>
    </row>
    <row r="541">
      <c r="A541" s="8"/>
      <c r="B541" s="8"/>
      <c r="C541" s="8"/>
      <c r="D541" s="8"/>
      <c r="E541" s="9"/>
    </row>
    <row r="542">
      <c r="A542" s="8"/>
      <c r="B542" s="8"/>
      <c r="C542" s="8"/>
      <c r="D542" s="8"/>
      <c r="E542" s="9"/>
    </row>
    <row r="543">
      <c r="A543" s="8"/>
      <c r="B543" s="8"/>
      <c r="C543" s="8"/>
      <c r="D543" s="8"/>
      <c r="E543" s="9"/>
    </row>
    <row r="544">
      <c r="A544" s="8"/>
      <c r="B544" s="8"/>
      <c r="C544" s="8"/>
      <c r="D544" s="8"/>
      <c r="E544" s="9"/>
    </row>
    <row r="545">
      <c r="A545" s="8"/>
      <c r="B545" s="8"/>
      <c r="C545" s="8"/>
      <c r="D545" s="8"/>
      <c r="E545" s="9"/>
    </row>
    <row r="546">
      <c r="A546" s="8"/>
      <c r="B546" s="8"/>
      <c r="C546" s="8"/>
      <c r="D546" s="8"/>
      <c r="E546" s="9"/>
    </row>
    <row r="547">
      <c r="A547" s="8"/>
      <c r="B547" s="8"/>
      <c r="C547" s="8"/>
      <c r="D547" s="8"/>
      <c r="E547" s="9"/>
    </row>
    <row r="548">
      <c r="A548" s="8"/>
      <c r="B548" s="8"/>
      <c r="C548" s="8"/>
      <c r="D548" s="8"/>
      <c r="E548" s="9"/>
    </row>
    <row r="549">
      <c r="A549" s="8"/>
      <c r="B549" s="8"/>
      <c r="C549" s="8"/>
      <c r="D549" s="8"/>
      <c r="E549" s="9"/>
    </row>
    <row r="550">
      <c r="A550" s="8"/>
      <c r="B550" s="8"/>
      <c r="C550" s="8"/>
      <c r="D550" s="8"/>
      <c r="E550" s="9"/>
    </row>
    <row r="551">
      <c r="A551" s="8"/>
      <c r="B551" s="8"/>
      <c r="C551" s="8"/>
      <c r="D551" s="8"/>
      <c r="E551" s="9"/>
    </row>
    <row r="552">
      <c r="A552" s="8"/>
      <c r="B552" s="8"/>
      <c r="C552" s="8"/>
      <c r="D552" s="8"/>
      <c r="E552" s="9"/>
    </row>
    <row r="553">
      <c r="A553" s="8"/>
      <c r="B553" s="8"/>
      <c r="C553" s="8"/>
      <c r="D553" s="8"/>
      <c r="E553" s="9"/>
    </row>
    <row r="554">
      <c r="A554" s="8"/>
      <c r="B554" s="8"/>
      <c r="C554" s="8"/>
      <c r="D554" s="8"/>
      <c r="E554" s="9"/>
    </row>
    <row r="555">
      <c r="A555" s="8"/>
      <c r="B555" s="8"/>
      <c r="C555" s="8"/>
      <c r="D555" s="8"/>
      <c r="E555" s="9"/>
    </row>
    <row r="556">
      <c r="A556" s="8"/>
      <c r="B556" s="8"/>
      <c r="C556" s="8"/>
      <c r="D556" s="8"/>
      <c r="E556" s="9"/>
    </row>
    <row r="557">
      <c r="A557" s="8"/>
      <c r="B557" s="8"/>
      <c r="C557" s="8"/>
      <c r="D557" s="8"/>
      <c r="E557" s="9"/>
    </row>
    <row r="558">
      <c r="A558" s="8"/>
      <c r="B558" s="8"/>
      <c r="C558" s="8"/>
      <c r="D558" s="8"/>
      <c r="E558" s="9"/>
    </row>
    <row r="559">
      <c r="A559" s="8"/>
      <c r="B559" s="8"/>
      <c r="C559" s="8"/>
      <c r="D559" s="8"/>
      <c r="E559" s="9"/>
    </row>
    <row r="560">
      <c r="A560" s="8"/>
      <c r="B560" s="8"/>
      <c r="C560" s="8"/>
      <c r="D560" s="8"/>
      <c r="E560" s="9"/>
    </row>
    <row r="561">
      <c r="A561" s="8"/>
      <c r="B561" s="8"/>
      <c r="C561" s="8"/>
      <c r="D561" s="8"/>
      <c r="E561" s="9"/>
    </row>
    <row r="562">
      <c r="A562" s="8"/>
      <c r="B562" s="8"/>
      <c r="C562" s="8"/>
      <c r="D562" s="8"/>
      <c r="E562" s="9"/>
    </row>
    <row r="563">
      <c r="A563" s="8"/>
      <c r="B563" s="8"/>
      <c r="C563" s="8"/>
      <c r="D563" s="8"/>
      <c r="E563" s="9"/>
    </row>
    <row r="564">
      <c r="A564" s="8"/>
      <c r="B564" s="8"/>
      <c r="C564" s="8"/>
      <c r="D564" s="8"/>
      <c r="E564" s="9"/>
    </row>
    <row r="565">
      <c r="A565" s="8"/>
      <c r="B565" s="8"/>
      <c r="C565" s="8"/>
      <c r="D565" s="8"/>
      <c r="E565" s="9"/>
    </row>
    <row r="566">
      <c r="A566" s="8"/>
      <c r="B566" s="8"/>
      <c r="C566" s="8"/>
      <c r="D566" s="8"/>
      <c r="E566" s="9"/>
    </row>
    <row r="567">
      <c r="A567" s="8"/>
      <c r="B567" s="8"/>
      <c r="C567" s="8"/>
      <c r="D567" s="8"/>
      <c r="E567" s="9"/>
    </row>
    <row r="568">
      <c r="A568" s="8"/>
      <c r="B568" s="8"/>
      <c r="C568" s="8"/>
      <c r="D568" s="8"/>
      <c r="E568" s="9"/>
    </row>
    <row r="569">
      <c r="A569" s="8"/>
      <c r="B569" s="8"/>
      <c r="C569" s="8"/>
      <c r="D569" s="8"/>
      <c r="E569" s="9"/>
    </row>
    <row r="570">
      <c r="A570" s="8"/>
      <c r="B570" s="8"/>
      <c r="C570" s="8"/>
      <c r="D570" s="8"/>
      <c r="E570" s="9"/>
    </row>
    <row r="571">
      <c r="A571" s="8"/>
      <c r="B571" s="8"/>
      <c r="C571" s="8"/>
      <c r="D571" s="8"/>
      <c r="E571" s="9"/>
    </row>
    <row r="572">
      <c r="A572" s="8"/>
      <c r="B572" s="8"/>
      <c r="C572" s="8"/>
      <c r="D572" s="8"/>
      <c r="E572" s="9"/>
    </row>
    <row r="573">
      <c r="A573" s="8"/>
      <c r="B573" s="8"/>
      <c r="C573" s="8"/>
      <c r="D573" s="8"/>
      <c r="E573" s="9"/>
    </row>
    <row r="574">
      <c r="A574" s="8"/>
      <c r="B574" s="8"/>
      <c r="C574" s="8"/>
      <c r="D574" s="8"/>
      <c r="E574" s="9"/>
    </row>
    <row r="575">
      <c r="A575" s="8"/>
      <c r="B575" s="8"/>
      <c r="C575" s="8"/>
      <c r="D575" s="8"/>
      <c r="E575" s="9"/>
    </row>
    <row r="576">
      <c r="A576" s="8"/>
      <c r="B576" s="8"/>
      <c r="C576" s="8"/>
      <c r="D576" s="8"/>
      <c r="E576" s="9"/>
    </row>
    <row r="577">
      <c r="A577" s="8"/>
      <c r="B577" s="8"/>
      <c r="C577" s="8"/>
      <c r="D577" s="8"/>
      <c r="E577" s="9"/>
    </row>
    <row r="578">
      <c r="A578" s="8"/>
      <c r="B578" s="8"/>
      <c r="C578" s="8"/>
      <c r="D578" s="8"/>
      <c r="E578" s="9"/>
    </row>
    <row r="579">
      <c r="A579" s="8"/>
      <c r="B579" s="8"/>
      <c r="C579" s="8"/>
      <c r="D579" s="8"/>
      <c r="E579" s="9"/>
    </row>
    <row r="580">
      <c r="A580" s="8"/>
      <c r="B580" s="8"/>
      <c r="C580" s="8"/>
      <c r="D580" s="8"/>
      <c r="E580" s="9"/>
    </row>
    <row r="581">
      <c r="A581" s="8"/>
      <c r="B581" s="8"/>
      <c r="C581" s="8"/>
      <c r="D581" s="8"/>
      <c r="E581" s="9"/>
    </row>
    <row r="582">
      <c r="A582" s="8"/>
      <c r="B582" s="8"/>
      <c r="C582" s="8"/>
      <c r="D582" s="8"/>
      <c r="E582" s="9"/>
    </row>
    <row r="583">
      <c r="A583" s="8"/>
      <c r="B583" s="8"/>
      <c r="C583" s="8"/>
      <c r="D583" s="8"/>
      <c r="E583" s="9"/>
    </row>
    <row r="584">
      <c r="A584" s="8"/>
      <c r="B584" s="8"/>
      <c r="C584" s="8"/>
      <c r="D584" s="8"/>
      <c r="E584" s="9"/>
    </row>
    <row r="585">
      <c r="A585" s="8"/>
      <c r="B585" s="8"/>
      <c r="C585" s="8"/>
      <c r="D585" s="8"/>
      <c r="E585" s="9"/>
    </row>
    <row r="586">
      <c r="A586" s="8"/>
      <c r="B586" s="8"/>
      <c r="C586" s="8"/>
      <c r="D586" s="8"/>
      <c r="E586" s="9"/>
    </row>
    <row r="587">
      <c r="A587" s="8"/>
      <c r="B587" s="8"/>
      <c r="C587" s="8"/>
      <c r="D587" s="8"/>
      <c r="E587" s="9"/>
    </row>
    <row r="588">
      <c r="A588" s="8"/>
      <c r="B588" s="8"/>
      <c r="C588" s="8"/>
      <c r="D588" s="8"/>
      <c r="E588" s="9"/>
    </row>
    <row r="589">
      <c r="A589" s="8"/>
      <c r="B589" s="8"/>
      <c r="C589" s="8"/>
      <c r="D589" s="8"/>
      <c r="E589" s="9"/>
    </row>
    <row r="590">
      <c r="A590" s="8"/>
      <c r="B590" s="8"/>
      <c r="C590" s="8"/>
      <c r="D590" s="8"/>
      <c r="E590" s="9"/>
    </row>
    <row r="591">
      <c r="A591" s="8"/>
      <c r="B591" s="8"/>
      <c r="C591" s="8"/>
      <c r="D591" s="8"/>
      <c r="E591" s="9"/>
    </row>
    <row r="592">
      <c r="A592" s="8"/>
      <c r="B592" s="8"/>
      <c r="C592" s="8"/>
      <c r="D592" s="8"/>
      <c r="E592" s="9"/>
    </row>
    <row r="593">
      <c r="A593" s="8"/>
      <c r="B593" s="8"/>
      <c r="C593" s="8"/>
      <c r="D593" s="8"/>
      <c r="E593" s="9"/>
    </row>
    <row r="594">
      <c r="A594" s="8"/>
      <c r="B594" s="8"/>
      <c r="C594" s="8"/>
      <c r="D594" s="8"/>
      <c r="E594" s="9"/>
    </row>
    <row r="595">
      <c r="A595" s="8"/>
      <c r="B595" s="8"/>
      <c r="C595" s="8"/>
      <c r="D595" s="8"/>
      <c r="E595" s="9"/>
    </row>
    <row r="596">
      <c r="A596" s="8"/>
      <c r="B596" s="8"/>
      <c r="C596" s="8"/>
      <c r="D596" s="8"/>
      <c r="E596" s="9"/>
    </row>
    <row r="597">
      <c r="A597" s="8"/>
      <c r="B597" s="8"/>
      <c r="C597" s="8"/>
      <c r="D597" s="8"/>
      <c r="E597" s="9"/>
    </row>
    <row r="598">
      <c r="A598" s="8"/>
      <c r="B598" s="8"/>
      <c r="C598" s="8"/>
      <c r="D598" s="8"/>
      <c r="E598" s="9"/>
    </row>
    <row r="599">
      <c r="A599" s="8"/>
      <c r="B599" s="8"/>
      <c r="C599" s="8"/>
      <c r="D599" s="8"/>
      <c r="E599" s="9"/>
    </row>
    <row r="600">
      <c r="A600" s="8"/>
      <c r="B600" s="8"/>
      <c r="C600" s="8"/>
      <c r="D600" s="8"/>
      <c r="E600" s="9"/>
    </row>
    <row r="601">
      <c r="A601" s="8"/>
      <c r="B601" s="8"/>
      <c r="C601" s="8"/>
      <c r="D601" s="8"/>
      <c r="E601" s="9"/>
    </row>
    <row r="602">
      <c r="A602" s="8"/>
      <c r="B602" s="8"/>
      <c r="C602" s="8"/>
      <c r="D602" s="8"/>
      <c r="E602" s="9"/>
    </row>
    <row r="603">
      <c r="A603" s="8"/>
      <c r="B603" s="8"/>
      <c r="C603" s="8"/>
      <c r="D603" s="8"/>
      <c r="E603" s="9"/>
    </row>
    <row r="604">
      <c r="A604" s="8"/>
      <c r="B604" s="8"/>
      <c r="C604" s="8"/>
      <c r="D604" s="8"/>
      <c r="E604" s="9"/>
    </row>
    <row r="605">
      <c r="A605" s="8"/>
      <c r="B605" s="8"/>
      <c r="C605" s="8"/>
      <c r="D605" s="8"/>
      <c r="E605" s="9"/>
    </row>
    <row r="606">
      <c r="A606" s="8"/>
      <c r="B606" s="8"/>
      <c r="C606" s="8"/>
      <c r="D606" s="8"/>
      <c r="E606" s="9"/>
    </row>
    <row r="607">
      <c r="A607" s="8"/>
      <c r="B607" s="8"/>
      <c r="C607" s="8"/>
      <c r="D607" s="8"/>
      <c r="E607" s="9"/>
    </row>
    <row r="608">
      <c r="A608" s="8"/>
      <c r="B608" s="8"/>
      <c r="C608" s="8"/>
      <c r="D608" s="8"/>
      <c r="E608" s="9"/>
    </row>
    <row r="609">
      <c r="A609" s="8"/>
      <c r="B609" s="8"/>
      <c r="C609" s="8"/>
      <c r="D609" s="8"/>
      <c r="E609" s="9"/>
    </row>
    <row r="610">
      <c r="A610" s="8"/>
      <c r="B610" s="8"/>
      <c r="C610" s="8"/>
      <c r="D610" s="8"/>
      <c r="E610" s="9"/>
    </row>
    <row r="611">
      <c r="A611" s="8"/>
      <c r="B611" s="8"/>
      <c r="C611" s="8"/>
      <c r="D611" s="8"/>
      <c r="E611" s="9"/>
    </row>
    <row r="612">
      <c r="A612" s="8"/>
      <c r="B612" s="8"/>
      <c r="C612" s="8"/>
      <c r="D612" s="8"/>
      <c r="E612" s="9"/>
    </row>
    <row r="613">
      <c r="A613" s="8"/>
      <c r="B613" s="8"/>
      <c r="C613" s="8"/>
      <c r="D613" s="8"/>
      <c r="E613" s="9"/>
    </row>
    <row r="614">
      <c r="A614" s="8"/>
      <c r="B614" s="8"/>
      <c r="C614" s="8"/>
      <c r="D614" s="8"/>
      <c r="E614" s="9"/>
    </row>
    <row r="615">
      <c r="A615" s="8"/>
      <c r="B615" s="8"/>
      <c r="C615" s="8"/>
      <c r="D615" s="8"/>
      <c r="E615" s="9"/>
    </row>
    <row r="616">
      <c r="A616" s="8"/>
      <c r="B616" s="8"/>
      <c r="C616" s="8"/>
      <c r="D616" s="8"/>
      <c r="E616" s="9"/>
    </row>
    <row r="617">
      <c r="A617" s="8"/>
      <c r="B617" s="8"/>
      <c r="C617" s="8"/>
      <c r="D617" s="8"/>
      <c r="E617" s="9"/>
    </row>
    <row r="618">
      <c r="A618" s="8"/>
      <c r="B618" s="8"/>
      <c r="C618" s="8"/>
      <c r="D618" s="8"/>
      <c r="E618" s="9"/>
    </row>
    <row r="619">
      <c r="A619" s="8"/>
      <c r="B619" s="8"/>
      <c r="C619" s="8"/>
      <c r="D619" s="8"/>
      <c r="E619" s="9"/>
    </row>
    <row r="620">
      <c r="A620" s="8"/>
      <c r="B620" s="8"/>
      <c r="C620" s="8"/>
      <c r="D620" s="8"/>
      <c r="E620" s="9"/>
    </row>
    <row r="621">
      <c r="A621" s="8"/>
      <c r="B621" s="8"/>
      <c r="C621" s="8"/>
      <c r="D621" s="8"/>
      <c r="E621" s="9"/>
    </row>
    <row r="622">
      <c r="A622" s="8"/>
      <c r="B622" s="8"/>
      <c r="C622" s="8"/>
      <c r="D622" s="8"/>
      <c r="E622" s="9"/>
    </row>
    <row r="623">
      <c r="A623" s="8"/>
      <c r="B623" s="8"/>
      <c r="C623" s="8"/>
      <c r="D623" s="8"/>
      <c r="E623" s="9"/>
    </row>
    <row r="624">
      <c r="A624" s="8"/>
      <c r="B624" s="8"/>
      <c r="C624" s="8"/>
      <c r="D624" s="8"/>
      <c r="E624" s="9"/>
    </row>
    <row r="625">
      <c r="A625" s="8"/>
      <c r="B625" s="8"/>
      <c r="C625" s="8"/>
      <c r="D625" s="8"/>
      <c r="E625" s="9"/>
    </row>
    <row r="626">
      <c r="A626" s="8"/>
      <c r="B626" s="8"/>
      <c r="C626" s="8"/>
      <c r="D626" s="8"/>
      <c r="E626" s="9"/>
    </row>
    <row r="627">
      <c r="A627" s="8"/>
      <c r="B627" s="8"/>
      <c r="C627" s="8"/>
      <c r="D627" s="8"/>
      <c r="E627" s="9"/>
    </row>
    <row r="628">
      <c r="A628" s="8"/>
      <c r="B628" s="8"/>
      <c r="C628" s="8"/>
      <c r="D628" s="8"/>
      <c r="E628" s="9"/>
    </row>
    <row r="629">
      <c r="A629" s="8"/>
      <c r="B629" s="8"/>
      <c r="C629" s="8"/>
      <c r="D629" s="8"/>
      <c r="E629" s="9"/>
    </row>
    <row r="630">
      <c r="A630" s="8"/>
      <c r="B630" s="8"/>
      <c r="C630" s="8"/>
      <c r="D630" s="8"/>
      <c r="E630" s="9"/>
    </row>
    <row r="631">
      <c r="A631" s="8"/>
      <c r="B631" s="8"/>
      <c r="C631" s="8"/>
      <c r="D631" s="8"/>
      <c r="E631" s="9"/>
    </row>
    <row r="632">
      <c r="A632" s="8"/>
      <c r="B632" s="8"/>
      <c r="C632" s="8"/>
      <c r="D632" s="8"/>
      <c r="E632" s="9"/>
    </row>
    <row r="633">
      <c r="A633" s="8"/>
      <c r="B633" s="8"/>
      <c r="C633" s="8"/>
      <c r="D633" s="8"/>
      <c r="E633" s="9"/>
    </row>
    <row r="634">
      <c r="A634" s="8"/>
      <c r="B634" s="8"/>
      <c r="C634" s="8"/>
      <c r="D634" s="8"/>
      <c r="E634" s="9"/>
    </row>
    <row r="635">
      <c r="A635" s="8"/>
      <c r="B635" s="8"/>
      <c r="C635" s="8"/>
      <c r="D635" s="8"/>
      <c r="E635" s="9"/>
    </row>
    <row r="636">
      <c r="A636" s="8"/>
      <c r="B636" s="8"/>
      <c r="C636" s="8"/>
      <c r="D636" s="8"/>
      <c r="E636" s="9"/>
    </row>
    <row r="637">
      <c r="A637" s="8"/>
      <c r="B637" s="8"/>
      <c r="C637" s="8"/>
      <c r="D637" s="8"/>
      <c r="E637" s="9"/>
    </row>
    <row r="638">
      <c r="A638" s="8"/>
      <c r="B638" s="8"/>
      <c r="C638" s="8"/>
      <c r="D638" s="8"/>
      <c r="E638" s="9"/>
    </row>
    <row r="639">
      <c r="A639" s="8"/>
      <c r="B639" s="8"/>
      <c r="C639" s="8"/>
      <c r="D639" s="8"/>
      <c r="E639" s="9"/>
    </row>
    <row r="640">
      <c r="A640" s="8"/>
      <c r="B640" s="8"/>
      <c r="C640" s="8"/>
      <c r="D640" s="8"/>
      <c r="E640" s="9"/>
    </row>
    <row r="641">
      <c r="A641" s="8"/>
      <c r="B641" s="8"/>
      <c r="C641" s="8"/>
      <c r="D641" s="8"/>
      <c r="E641" s="9"/>
    </row>
    <row r="642">
      <c r="A642" s="8"/>
      <c r="B642" s="8"/>
      <c r="C642" s="8"/>
      <c r="D642" s="8"/>
      <c r="E642" s="9"/>
    </row>
    <row r="643">
      <c r="A643" s="8"/>
      <c r="B643" s="8"/>
      <c r="C643" s="8"/>
      <c r="D643" s="8"/>
      <c r="E643" s="9"/>
    </row>
    <row r="644">
      <c r="A644" s="8"/>
      <c r="B644" s="8"/>
      <c r="C644" s="8"/>
      <c r="D644" s="8"/>
      <c r="E644" s="9"/>
    </row>
    <row r="645">
      <c r="A645" s="8"/>
      <c r="B645" s="8"/>
      <c r="C645" s="8"/>
      <c r="D645" s="8"/>
      <c r="E645" s="9"/>
    </row>
    <row r="646">
      <c r="A646" s="8"/>
      <c r="B646" s="8"/>
      <c r="C646" s="8"/>
      <c r="D646" s="8"/>
      <c r="E646" s="9"/>
    </row>
    <row r="647">
      <c r="A647" s="8"/>
      <c r="B647" s="8"/>
      <c r="C647" s="8"/>
      <c r="D647" s="8"/>
      <c r="E647" s="9"/>
    </row>
    <row r="648">
      <c r="A648" s="8"/>
      <c r="B648" s="8"/>
      <c r="C648" s="8"/>
      <c r="D648" s="8"/>
      <c r="E648" s="9"/>
    </row>
    <row r="649">
      <c r="A649" s="8"/>
      <c r="B649" s="8"/>
      <c r="C649" s="8"/>
      <c r="D649" s="8"/>
      <c r="E649" s="9"/>
    </row>
    <row r="650">
      <c r="A650" s="8"/>
      <c r="B650" s="8"/>
      <c r="C650" s="8"/>
      <c r="D650" s="8"/>
      <c r="E650" s="9"/>
    </row>
    <row r="651">
      <c r="A651" s="8"/>
      <c r="B651" s="8"/>
      <c r="C651" s="8"/>
      <c r="D651" s="8"/>
      <c r="E651" s="9"/>
    </row>
    <row r="652">
      <c r="A652" s="8"/>
      <c r="B652" s="8"/>
      <c r="C652" s="8"/>
      <c r="D652" s="8"/>
      <c r="E652" s="9"/>
    </row>
    <row r="653">
      <c r="A653" s="8"/>
      <c r="B653" s="8"/>
      <c r="C653" s="8"/>
      <c r="D653" s="8"/>
      <c r="E653" s="9"/>
    </row>
    <row r="654">
      <c r="A654" s="8"/>
      <c r="B654" s="8"/>
      <c r="C654" s="8"/>
      <c r="D654" s="8"/>
      <c r="E654" s="9"/>
    </row>
    <row r="655">
      <c r="A655" s="8"/>
      <c r="B655" s="8"/>
      <c r="C655" s="8"/>
      <c r="D655" s="8"/>
      <c r="E655" s="9"/>
    </row>
    <row r="656">
      <c r="A656" s="8"/>
      <c r="B656" s="8"/>
      <c r="C656" s="8"/>
      <c r="D656" s="8"/>
      <c r="E656" s="9"/>
    </row>
    <row r="657">
      <c r="A657" s="8"/>
      <c r="B657" s="8"/>
      <c r="C657" s="8"/>
      <c r="D657" s="8"/>
      <c r="E657" s="9"/>
    </row>
    <row r="658">
      <c r="A658" s="8"/>
      <c r="B658" s="8"/>
      <c r="C658" s="8"/>
      <c r="D658" s="8"/>
      <c r="E658" s="9"/>
    </row>
    <row r="659">
      <c r="A659" s="8"/>
      <c r="B659" s="8"/>
      <c r="C659" s="8"/>
      <c r="D659" s="8"/>
      <c r="E659" s="9"/>
    </row>
    <row r="660">
      <c r="A660" s="8"/>
      <c r="B660" s="8"/>
      <c r="C660" s="8"/>
      <c r="D660" s="8"/>
      <c r="E660" s="9"/>
    </row>
    <row r="661">
      <c r="A661" s="8"/>
      <c r="B661" s="8"/>
      <c r="C661" s="8"/>
      <c r="D661" s="8"/>
      <c r="E661" s="9"/>
    </row>
    <row r="662">
      <c r="A662" s="8"/>
      <c r="B662" s="8"/>
      <c r="C662" s="8"/>
      <c r="D662" s="8"/>
      <c r="E662" s="9"/>
    </row>
    <row r="663">
      <c r="A663" s="8"/>
      <c r="B663" s="8"/>
      <c r="C663" s="8"/>
      <c r="D663" s="8"/>
      <c r="E663" s="9"/>
    </row>
    <row r="664">
      <c r="A664" s="8"/>
      <c r="B664" s="8"/>
      <c r="C664" s="8"/>
      <c r="D664" s="8"/>
      <c r="E664" s="9"/>
    </row>
    <row r="665">
      <c r="A665" s="8"/>
      <c r="B665" s="8"/>
      <c r="C665" s="8"/>
      <c r="D665" s="8"/>
      <c r="E665" s="9"/>
    </row>
    <row r="666">
      <c r="A666" s="8"/>
      <c r="B666" s="8"/>
      <c r="C666" s="8"/>
      <c r="D666" s="8"/>
      <c r="E666" s="9"/>
    </row>
    <row r="667">
      <c r="A667" s="8"/>
      <c r="B667" s="8"/>
      <c r="C667" s="8"/>
      <c r="D667" s="8"/>
      <c r="E667" s="9"/>
    </row>
    <row r="668">
      <c r="A668" s="8"/>
      <c r="B668" s="8"/>
      <c r="C668" s="8"/>
      <c r="D668" s="8"/>
      <c r="E668" s="9"/>
    </row>
    <row r="669">
      <c r="A669" s="8"/>
      <c r="B669" s="8"/>
      <c r="C669" s="8"/>
      <c r="D669" s="8"/>
      <c r="E669" s="9"/>
    </row>
    <row r="670">
      <c r="A670" s="8"/>
      <c r="B670" s="8"/>
      <c r="C670" s="8"/>
      <c r="D670" s="8"/>
      <c r="E670" s="9"/>
    </row>
    <row r="671">
      <c r="A671" s="8"/>
      <c r="B671" s="8"/>
      <c r="C671" s="8"/>
      <c r="D671" s="8"/>
      <c r="E671" s="9"/>
    </row>
    <row r="672">
      <c r="A672" s="8"/>
      <c r="B672" s="8"/>
      <c r="C672" s="8"/>
      <c r="D672" s="8"/>
      <c r="E672" s="9"/>
    </row>
    <row r="673">
      <c r="A673" s="8"/>
      <c r="B673" s="8"/>
      <c r="C673" s="8"/>
      <c r="D673" s="8"/>
      <c r="E673" s="9"/>
    </row>
    <row r="674">
      <c r="A674" s="8"/>
      <c r="B674" s="8"/>
      <c r="C674" s="8"/>
      <c r="D674" s="8"/>
      <c r="E674" s="9"/>
    </row>
    <row r="675">
      <c r="A675" s="8"/>
      <c r="B675" s="8"/>
      <c r="C675" s="8"/>
      <c r="D675" s="8"/>
      <c r="E675" s="9"/>
    </row>
    <row r="676">
      <c r="A676" s="8"/>
      <c r="B676" s="8"/>
      <c r="C676" s="8"/>
      <c r="D676" s="8"/>
      <c r="E676" s="9"/>
    </row>
    <row r="677">
      <c r="A677" s="8"/>
      <c r="B677" s="8"/>
      <c r="C677" s="8"/>
      <c r="D677" s="8"/>
      <c r="E677" s="9"/>
    </row>
    <row r="678">
      <c r="A678" s="8"/>
      <c r="B678" s="8"/>
      <c r="C678" s="8"/>
      <c r="D678" s="8"/>
      <c r="E678" s="9"/>
    </row>
    <row r="679">
      <c r="A679" s="8"/>
      <c r="B679" s="8"/>
      <c r="C679" s="8"/>
      <c r="D679" s="8"/>
      <c r="E679" s="9"/>
    </row>
    <row r="680">
      <c r="A680" s="8"/>
      <c r="B680" s="8"/>
      <c r="C680" s="8"/>
      <c r="D680" s="8"/>
      <c r="E680" s="9"/>
    </row>
    <row r="681">
      <c r="A681" s="8"/>
      <c r="B681" s="8"/>
      <c r="C681" s="8"/>
      <c r="D681" s="8"/>
      <c r="E681" s="9"/>
    </row>
    <row r="682">
      <c r="A682" s="8"/>
      <c r="B682" s="8"/>
      <c r="C682" s="8"/>
      <c r="D682" s="8"/>
      <c r="E682" s="9"/>
    </row>
    <row r="683">
      <c r="A683" s="8"/>
      <c r="B683" s="8"/>
      <c r="C683" s="8"/>
      <c r="D683" s="8"/>
      <c r="E683" s="9"/>
    </row>
    <row r="684">
      <c r="A684" s="8"/>
      <c r="B684" s="8"/>
      <c r="C684" s="8"/>
      <c r="D684" s="8"/>
      <c r="E684" s="9"/>
    </row>
    <row r="685">
      <c r="A685" s="8"/>
      <c r="B685" s="8"/>
      <c r="C685" s="8"/>
      <c r="D685" s="8"/>
      <c r="E685" s="9"/>
    </row>
    <row r="686">
      <c r="A686" s="8"/>
      <c r="B686" s="8"/>
      <c r="C686" s="8"/>
      <c r="D686" s="8"/>
      <c r="E686" s="9"/>
    </row>
    <row r="687">
      <c r="A687" s="8"/>
      <c r="B687" s="8"/>
      <c r="C687" s="8"/>
      <c r="D687" s="8"/>
      <c r="E687" s="9"/>
    </row>
    <row r="688">
      <c r="A688" s="8"/>
      <c r="B688" s="8"/>
      <c r="C688" s="8"/>
      <c r="D688" s="8"/>
      <c r="E688" s="9"/>
    </row>
    <row r="689">
      <c r="A689" s="8"/>
      <c r="B689" s="8"/>
      <c r="C689" s="8"/>
      <c r="D689" s="8"/>
      <c r="E689" s="9"/>
    </row>
    <row r="690">
      <c r="A690" s="8"/>
      <c r="B690" s="8"/>
      <c r="C690" s="8"/>
      <c r="D690" s="8"/>
      <c r="E690" s="9"/>
    </row>
    <row r="691">
      <c r="A691" s="8"/>
      <c r="B691" s="8"/>
      <c r="C691" s="8"/>
      <c r="D691" s="8"/>
      <c r="E691" s="9"/>
    </row>
    <row r="692">
      <c r="A692" s="8"/>
      <c r="B692" s="8"/>
      <c r="C692" s="8"/>
      <c r="D692" s="8"/>
      <c r="E692" s="9"/>
    </row>
    <row r="693">
      <c r="A693" s="8"/>
      <c r="B693" s="8"/>
      <c r="C693" s="8"/>
      <c r="D693" s="8"/>
      <c r="E693" s="9"/>
    </row>
    <row r="694">
      <c r="A694" s="8"/>
      <c r="B694" s="8"/>
      <c r="C694" s="8"/>
      <c r="D694" s="8"/>
      <c r="E694" s="9"/>
    </row>
    <row r="695">
      <c r="A695" s="8"/>
      <c r="B695" s="8"/>
      <c r="C695" s="8"/>
      <c r="D695" s="8"/>
      <c r="E695" s="9"/>
    </row>
    <row r="696">
      <c r="A696" s="8"/>
      <c r="B696" s="8"/>
      <c r="C696" s="8"/>
      <c r="D696" s="8"/>
      <c r="E696" s="9"/>
    </row>
    <row r="697">
      <c r="A697" s="8"/>
      <c r="B697" s="8"/>
      <c r="C697" s="8"/>
      <c r="D697" s="8"/>
      <c r="E697" s="9"/>
    </row>
    <row r="698">
      <c r="A698" s="8"/>
      <c r="B698" s="8"/>
      <c r="C698" s="8"/>
      <c r="D698" s="8"/>
      <c r="E698" s="9"/>
    </row>
    <row r="699">
      <c r="A699" s="8"/>
      <c r="B699" s="8"/>
      <c r="C699" s="8"/>
      <c r="D699" s="8"/>
      <c r="E699" s="9"/>
    </row>
    <row r="700">
      <c r="A700" s="8"/>
      <c r="B700" s="8"/>
      <c r="C700" s="8"/>
      <c r="D700" s="8"/>
      <c r="E700" s="9"/>
    </row>
    <row r="701">
      <c r="A701" s="8"/>
      <c r="B701" s="8"/>
      <c r="C701" s="8"/>
      <c r="D701" s="8"/>
      <c r="E701" s="9"/>
    </row>
    <row r="702">
      <c r="A702" s="8"/>
      <c r="B702" s="8"/>
      <c r="C702" s="8"/>
      <c r="D702" s="8"/>
      <c r="E702" s="9"/>
    </row>
    <row r="703">
      <c r="A703" s="8"/>
      <c r="B703" s="8"/>
      <c r="C703" s="8"/>
      <c r="D703" s="8"/>
      <c r="E703" s="9"/>
    </row>
    <row r="704">
      <c r="A704" s="8"/>
      <c r="B704" s="8"/>
      <c r="C704" s="8"/>
      <c r="D704" s="8"/>
      <c r="E704" s="9"/>
    </row>
    <row r="705">
      <c r="A705" s="8"/>
      <c r="B705" s="8"/>
      <c r="C705" s="8"/>
      <c r="D705" s="8"/>
      <c r="E705" s="9"/>
    </row>
    <row r="706">
      <c r="A706" s="8"/>
      <c r="B706" s="8"/>
      <c r="C706" s="8"/>
      <c r="D706" s="8"/>
      <c r="E706" s="9"/>
    </row>
    <row r="707">
      <c r="A707" s="8"/>
      <c r="B707" s="8"/>
      <c r="C707" s="8"/>
      <c r="D707" s="8"/>
      <c r="E707" s="9"/>
    </row>
    <row r="708">
      <c r="A708" s="8"/>
      <c r="B708" s="8"/>
      <c r="C708" s="8"/>
      <c r="D708" s="8"/>
      <c r="E708" s="9"/>
    </row>
    <row r="709">
      <c r="A709" s="8"/>
      <c r="B709" s="8"/>
      <c r="C709" s="8"/>
      <c r="D709" s="8"/>
      <c r="E709" s="9"/>
    </row>
    <row r="710">
      <c r="A710" s="8"/>
      <c r="B710" s="8"/>
      <c r="C710" s="8"/>
      <c r="D710" s="8"/>
      <c r="E710" s="9"/>
    </row>
    <row r="711">
      <c r="A711" s="8"/>
      <c r="B711" s="8"/>
      <c r="C711" s="8"/>
      <c r="D711" s="8"/>
      <c r="E711" s="9"/>
    </row>
    <row r="712">
      <c r="A712" s="8"/>
      <c r="B712" s="8"/>
      <c r="C712" s="8"/>
      <c r="D712" s="8"/>
      <c r="E712" s="9"/>
    </row>
    <row r="713">
      <c r="A713" s="8"/>
      <c r="B713" s="8"/>
      <c r="C713" s="8"/>
      <c r="D713" s="8"/>
      <c r="E713" s="9"/>
    </row>
    <row r="714">
      <c r="A714" s="8"/>
      <c r="B714" s="8"/>
      <c r="C714" s="8"/>
      <c r="D714" s="8"/>
      <c r="E714" s="9"/>
    </row>
    <row r="715">
      <c r="A715" s="8"/>
      <c r="B715" s="8"/>
      <c r="C715" s="8"/>
      <c r="D715" s="8"/>
      <c r="E715" s="9"/>
    </row>
    <row r="716">
      <c r="A716" s="8"/>
      <c r="B716" s="8"/>
      <c r="C716" s="8"/>
      <c r="D716" s="8"/>
      <c r="E716" s="9"/>
    </row>
    <row r="717">
      <c r="A717" s="8"/>
      <c r="B717" s="8"/>
      <c r="C717" s="8"/>
      <c r="D717" s="8"/>
      <c r="E717" s="9"/>
    </row>
    <row r="718">
      <c r="A718" s="8"/>
      <c r="B718" s="8"/>
      <c r="C718" s="8"/>
      <c r="D718" s="8"/>
      <c r="E718" s="9"/>
    </row>
    <row r="719">
      <c r="A719" s="8"/>
      <c r="B719" s="8"/>
      <c r="C719" s="8"/>
      <c r="D719" s="8"/>
      <c r="E719" s="9"/>
    </row>
    <row r="720">
      <c r="A720" s="8"/>
      <c r="B720" s="8"/>
      <c r="C720" s="8"/>
      <c r="D720" s="8"/>
      <c r="E720" s="9"/>
    </row>
    <row r="721">
      <c r="A721" s="8"/>
      <c r="B721" s="8"/>
      <c r="C721" s="8"/>
      <c r="D721" s="8"/>
      <c r="E721" s="9"/>
    </row>
    <row r="722">
      <c r="A722" s="8"/>
      <c r="B722" s="8"/>
      <c r="C722" s="8"/>
      <c r="D722" s="8"/>
      <c r="E722" s="9"/>
    </row>
    <row r="723">
      <c r="A723" s="8"/>
      <c r="B723" s="8"/>
      <c r="C723" s="8"/>
      <c r="D723" s="8"/>
      <c r="E723" s="9"/>
    </row>
    <row r="724">
      <c r="A724" s="8"/>
      <c r="B724" s="8"/>
      <c r="C724" s="8"/>
      <c r="D724" s="8"/>
      <c r="E724" s="9"/>
    </row>
    <row r="725">
      <c r="A725" s="8"/>
      <c r="B725" s="8"/>
      <c r="C725" s="8"/>
      <c r="D725" s="8"/>
      <c r="E725" s="9"/>
    </row>
    <row r="726">
      <c r="A726" s="8"/>
      <c r="B726" s="8"/>
      <c r="C726" s="8"/>
      <c r="D726" s="8"/>
      <c r="E726" s="9"/>
    </row>
    <row r="727">
      <c r="A727" s="8"/>
      <c r="B727" s="8"/>
      <c r="C727" s="8"/>
      <c r="D727" s="8"/>
      <c r="E727" s="9"/>
    </row>
    <row r="728">
      <c r="A728" s="8"/>
      <c r="B728" s="8"/>
      <c r="C728" s="8"/>
      <c r="D728" s="8"/>
      <c r="E728" s="9"/>
    </row>
    <row r="729">
      <c r="A729" s="8"/>
      <c r="B729" s="8"/>
      <c r="C729" s="8"/>
      <c r="D729" s="8"/>
      <c r="E729" s="9"/>
    </row>
    <row r="730">
      <c r="A730" s="8"/>
      <c r="B730" s="8"/>
      <c r="C730" s="8"/>
      <c r="D730" s="8"/>
      <c r="E730" s="9"/>
    </row>
    <row r="731">
      <c r="A731" s="8"/>
      <c r="B731" s="8"/>
      <c r="C731" s="8"/>
      <c r="D731" s="8"/>
      <c r="E731" s="9"/>
    </row>
    <row r="732">
      <c r="A732" s="8"/>
      <c r="B732" s="8"/>
      <c r="C732" s="8"/>
      <c r="D732" s="8"/>
      <c r="E732" s="9"/>
    </row>
    <row r="733">
      <c r="A733" s="8"/>
      <c r="B733" s="8"/>
      <c r="C733" s="8"/>
      <c r="D733" s="8"/>
      <c r="E733" s="9"/>
    </row>
    <row r="734">
      <c r="A734" s="8"/>
      <c r="B734" s="8"/>
      <c r="C734" s="8"/>
      <c r="D734" s="8"/>
      <c r="E734" s="9"/>
    </row>
    <row r="735">
      <c r="A735" s="8"/>
      <c r="B735" s="8"/>
      <c r="C735" s="8"/>
      <c r="D735" s="8"/>
      <c r="E735" s="9"/>
    </row>
    <row r="736">
      <c r="A736" s="8"/>
      <c r="B736" s="8"/>
      <c r="C736" s="8"/>
      <c r="D736" s="8"/>
      <c r="E736" s="9"/>
    </row>
    <row r="737">
      <c r="A737" s="8"/>
      <c r="B737" s="8"/>
      <c r="C737" s="8"/>
      <c r="D737" s="8"/>
      <c r="E737" s="9"/>
    </row>
    <row r="738">
      <c r="A738" s="8"/>
      <c r="B738" s="8"/>
      <c r="C738" s="8"/>
      <c r="D738" s="8"/>
      <c r="E738" s="9"/>
    </row>
    <row r="739">
      <c r="A739" s="8"/>
      <c r="B739" s="8"/>
      <c r="C739" s="8"/>
      <c r="D739" s="8"/>
      <c r="E739" s="9"/>
    </row>
    <row r="740">
      <c r="A740" s="8"/>
      <c r="B740" s="8"/>
      <c r="C740" s="8"/>
      <c r="D740" s="8"/>
      <c r="E740" s="9"/>
    </row>
    <row r="741">
      <c r="A741" s="8"/>
      <c r="B741" s="8"/>
      <c r="C741" s="8"/>
      <c r="D741" s="8"/>
      <c r="E741" s="9"/>
    </row>
    <row r="742">
      <c r="A742" s="8"/>
      <c r="B742" s="8"/>
      <c r="C742" s="8"/>
      <c r="D742" s="8"/>
      <c r="E742" s="9"/>
    </row>
    <row r="743">
      <c r="A743" s="8"/>
      <c r="B743" s="8"/>
      <c r="C743" s="8"/>
      <c r="D743" s="8"/>
      <c r="E743" s="9"/>
    </row>
    <row r="744">
      <c r="A744" s="8"/>
      <c r="B744" s="8"/>
      <c r="C744" s="8"/>
      <c r="D744" s="8"/>
      <c r="E744" s="9"/>
    </row>
    <row r="745">
      <c r="A745" s="8"/>
      <c r="B745" s="8"/>
      <c r="C745" s="8"/>
      <c r="D745" s="8"/>
      <c r="E745" s="9"/>
    </row>
    <row r="746">
      <c r="A746" s="8"/>
      <c r="B746" s="8"/>
      <c r="C746" s="8"/>
      <c r="D746" s="8"/>
      <c r="E746" s="9"/>
    </row>
    <row r="747">
      <c r="A747" s="8"/>
      <c r="B747" s="8"/>
      <c r="C747" s="8"/>
      <c r="D747" s="8"/>
      <c r="E747" s="9"/>
    </row>
    <row r="748">
      <c r="A748" s="8"/>
      <c r="B748" s="8"/>
      <c r="C748" s="8"/>
      <c r="D748" s="8"/>
      <c r="E748" s="9"/>
    </row>
    <row r="749">
      <c r="A749" s="8"/>
      <c r="B749" s="8"/>
      <c r="C749" s="8"/>
      <c r="D749" s="8"/>
      <c r="E749" s="9"/>
    </row>
    <row r="750">
      <c r="A750" s="8"/>
      <c r="B750" s="8"/>
      <c r="C750" s="8"/>
      <c r="D750" s="8"/>
      <c r="E750" s="9"/>
    </row>
    <row r="751">
      <c r="A751" s="8"/>
      <c r="B751" s="8"/>
      <c r="C751" s="8"/>
      <c r="D751" s="8"/>
      <c r="E751" s="9"/>
    </row>
    <row r="752">
      <c r="A752" s="8"/>
      <c r="B752" s="8"/>
      <c r="C752" s="8"/>
      <c r="D752" s="8"/>
      <c r="E752" s="9"/>
    </row>
    <row r="753">
      <c r="A753" s="8"/>
      <c r="B753" s="8"/>
      <c r="C753" s="8"/>
      <c r="D753" s="8"/>
      <c r="E753" s="9"/>
    </row>
    <row r="754">
      <c r="A754" s="8"/>
      <c r="B754" s="8"/>
      <c r="C754" s="8"/>
      <c r="D754" s="8"/>
      <c r="E754" s="9"/>
    </row>
    <row r="755">
      <c r="A755" s="8"/>
      <c r="B755" s="8"/>
      <c r="C755" s="8"/>
      <c r="D755" s="8"/>
      <c r="E755" s="9"/>
    </row>
    <row r="756">
      <c r="A756" s="8"/>
      <c r="B756" s="8"/>
      <c r="C756" s="8"/>
      <c r="D756" s="8"/>
      <c r="E756" s="9"/>
    </row>
    <row r="757">
      <c r="A757" s="8"/>
      <c r="B757" s="8"/>
      <c r="C757" s="8"/>
      <c r="D757" s="8"/>
      <c r="E757" s="9"/>
    </row>
    <row r="758">
      <c r="A758" s="8"/>
      <c r="B758" s="8"/>
      <c r="C758" s="8"/>
      <c r="D758" s="8"/>
      <c r="E758" s="9"/>
    </row>
    <row r="759">
      <c r="A759" s="8"/>
      <c r="B759" s="8"/>
      <c r="C759" s="8"/>
      <c r="D759" s="8"/>
      <c r="E759" s="9"/>
    </row>
    <row r="760">
      <c r="A760" s="8"/>
      <c r="B760" s="8"/>
      <c r="C760" s="8"/>
      <c r="D760" s="8"/>
      <c r="E760" s="9"/>
    </row>
    <row r="761">
      <c r="A761" s="8"/>
      <c r="B761" s="8"/>
      <c r="C761" s="8"/>
      <c r="D761" s="8"/>
      <c r="E761" s="9"/>
    </row>
    <row r="762">
      <c r="A762" s="8"/>
      <c r="B762" s="8"/>
      <c r="C762" s="8"/>
      <c r="D762" s="8"/>
      <c r="E762" s="9"/>
    </row>
    <row r="763">
      <c r="A763" s="8"/>
      <c r="B763" s="8"/>
      <c r="C763" s="8"/>
      <c r="D763" s="8"/>
      <c r="E763" s="9"/>
    </row>
    <row r="764">
      <c r="A764" s="8"/>
      <c r="B764" s="8"/>
      <c r="C764" s="8"/>
      <c r="D764" s="8"/>
      <c r="E764" s="9"/>
    </row>
    <row r="765">
      <c r="A765" s="8"/>
      <c r="B765" s="8"/>
      <c r="C765" s="8"/>
      <c r="D765" s="8"/>
      <c r="E765" s="9"/>
    </row>
    <row r="766">
      <c r="A766" s="8"/>
      <c r="B766" s="8"/>
      <c r="C766" s="8"/>
      <c r="D766" s="8"/>
      <c r="E766" s="9"/>
    </row>
    <row r="767">
      <c r="A767" s="8"/>
      <c r="B767" s="8"/>
      <c r="C767" s="8"/>
      <c r="D767" s="8"/>
      <c r="E767" s="9"/>
    </row>
    <row r="768">
      <c r="A768" s="8"/>
      <c r="B768" s="8"/>
      <c r="C768" s="8"/>
      <c r="D768" s="8"/>
      <c r="E768" s="9"/>
    </row>
    <row r="769">
      <c r="A769" s="8"/>
      <c r="B769" s="8"/>
      <c r="C769" s="8"/>
      <c r="D769" s="8"/>
      <c r="E769" s="9"/>
    </row>
    <row r="770">
      <c r="A770" s="8"/>
      <c r="B770" s="8"/>
      <c r="C770" s="8"/>
      <c r="D770" s="8"/>
      <c r="E770" s="9"/>
    </row>
    <row r="771">
      <c r="A771" s="8"/>
      <c r="B771" s="8"/>
      <c r="C771" s="8"/>
      <c r="D771" s="8"/>
      <c r="E771" s="9"/>
    </row>
    <row r="772">
      <c r="A772" s="8"/>
      <c r="B772" s="8"/>
      <c r="C772" s="8"/>
      <c r="D772" s="8"/>
      <c r="E772" s="9"/>
    </row>
    <row r="773">
      <c r="A773" s="8"/>
      <c r="B773" s="8"/>
      <c r="C773" s="8"/>
      <c r="D773" s="8"/>
      <c r="E773" s="9"/>
    </row>
    <row r="774">
      <c r="A774" s="8"/>
      <c r="B774" s="8"/>
      <c r="C774" s="8"/>
      <c r="D774" s="8"/>
      <c r="E774" s="9"/>
    </row>
    <row r="775">
      <c r="A775" s="8"/>
      <c r="B775" s="8"/>
      <c r="C775" s="8"/>
      <c r="D775" s="8"/>
      <c r="E775" s="9"/>
    </row>
    <row r="776">
      <c r="A776" s="8"/>
      <c r="B776" s="8"/>
      <c r="C776" s="8"/>
      <c r="D776" s="8"/>
      <c r="E776" s="9"/>
    </row>
    <row r="777">
      <c r="A777" s="8"/>
      <c r="B777" s="8"/>
      <c r="C777" s="8"/>
      <c r="D777" s="8"/>
      <c r="E777" s="9"/>
    </row>
    <row r="778">
      <c r="A778" s="8"/>
      <c r="B778" s="8"/>
      <c r="C778" s="8"/>
      <c r="D778" s="8"/>
      <c r="E778" s="9"/>
    </row>
    <row r="779">
      <c r="A779" s="8"/>
      <c r="B779" s="8"/>
      <c r="C779" s="8"/>
      <c r="D779" s="8"/>
      <c r="E779" s="9"/>
    </row>
    <row r="780">
      <c r="A780" s="8"/>
      <c r="B780" s="8"/>
      <c r="C780" s="8"/>
      <c r="D780" s="8"/>
      <c r="E780" s="9"/>
    </row>
    <row r="781">
      <c r="A781" s="8"/>
      <c r="B781" s="8"/>
      <c r="C781" s="8"/>
      <c r="D781" s="8"/>
      <c r="E781" s="9"/>
    </row>
    <row r="782">
      <c r="A782" s="8"/>
      <c r="B782" s="8"/>
      <c r="C782" s="8"/>
      <c r="D782" s="8"/>
      <c r="E782" s="9"/>
    </row>
    <row r="783">
      <c r="A783" s="8"/>
      <c r="B783" s="8"/>
      <c r="C783" s="8"/>
      <c r="D783" s="8"/>
      <c r="E783" s="9"/>
    </row>
    <row r="784">
      <c r="A784" s="8"/>
      <c r="B784" s="8"/>
      <c r="C784" s="8"/>
      <c r="D784" s="8"/>
      <c r="E784" s="9"/>
    </row>
    <row r="785">
      <c r="A785" s="8"/>
      <c r="B785" s="8"/>
      <c r="C785" s="8"/>
      <c r="D785" s="8"/>
      <c r="E785" s="9"/>
    </row>
    <row r="786">
      <c r="A786" s="8"/>
      <c r="B786" s="8"/>
      <c r="C786" s="8"/>
      <c r="D786" s="8"/>
      <c r="E786" s="9"/>
    </row>
    <row r="787">
      <c r="A787" s="8"/>
      <c r="B787" s="8"/>
      <c r="C787" s="8"/>
      <c r="D787" s="8"/>
      <c r="E787" s="9"/>
    </row>
    <row r="788">
      <c r="A788" s="8"/>
      <c r="B788" s="8"/>
      <c r="C788" s="8"/>
      <c r="D788" s="8"/>
      <c r="E788" s="9"/>
    </row>
    <row r="789">
      <c r="A789" s="8"/>
      <c r="B789" s="8"/>
      <c r="C789" s="8"/>
      <c r="D789" s="8"/>
      <c r="E789" s="9"/>
    </row>
    <row r="790">
      <c r="A790" s="8"/>
      <c r="B790" s="8"/>
      <c r="C790" s="8"/>
      <c r="D790" s="8"/>
      <c r="E790" s="9"/>
    </row>
    <row r="791">
      <c r="A791" s="8"/>
      <c r="B791" s="8"/>
      <c r="C791" s="8"/>
      <c r="D791" s="8"/>
      <c r="E791" s="9"/>
    </row>
    <row r="792">
      <c r="A792" s="8"/>
      <c r="B792" s="8"/>
      <c r="C792" s="8"/>
      <c r="D792" s="8"/>
      <c r="E792" s="9"/>
    </row>
    <row r="793">
      <c r="A793" s="8"/>
      <c r="B793" s="8"/>
      <c r="C793" s="8"/>
      <c r="D793" s="8"/>
      <c r="E793" s="9"/>
    </row>
    <row r="794">
      <c r="A794" s="8"/>
      <c r="B794" s="8"/>
      <c r="C794" s="8"/>
      <c r="D794" s="8"/>
      <c r="E794" s="9"/>
    </row>
    <row r="795">
      <c r="A795" s="8"/>
      <c r="B795" s="8"/>
      <c r="C795" s="8"/>
      <c r="D795" s="8"/>
      <c r="E795" s="9"/>
    </row>
    <row r="796">
      <c r="A796" s="8"/>
      <c r="B796" s="8"/>
      <c r="C796" s="8"/>
      <c r="D796" s="8"/>
      <c r="E796" s="9"/>
    </row>
    <row r="797">
      <c r="A797" s="8"/>
      <c r="B797" s="8"/>
      <c r="C797" s="8"/>
      <c r="D797" s="8"/>
      <c r="E797" s="9"/>
    </row>
    <row r="798">
      <c r="A798" s="8"/>
      <c r="B798" s="8"/>
      <c r="C798" s="8"/>
      <c r="D798" s="8"/>
      <c r="E798" s="9"/>
    </row>
    <row r="799">
      <c r="A799" s="8"/>
      <c r="B799" s="8"/>
      <c r="C799" s="8"/>
      <c r="D799" s="8"/>
      <c r="E799" s="9"/>
    </row>
    <row r="800">
      <c r="A800" s="8"/>
      <c r="B800" s="8"/>
      <c r="C800" s="8"/>
      <c r="D800" s="8"/>
      <c r="E800" s="9"/>
    </row>
    <row r="801">
      <c r="A801" s="8"/>
      <c r="B801" s="8"/>
      <c r="C801" s="8"/>
      <c r="D801" s="8"/>
      <c r="E801" s="9"/>
    </row>
    <row r="802">
      <c r="A802" s="8"/>
      <c r="B802" s="8"/>
      <c r="C802" s="8"/>
      <c r="D802" s="8"/>
      <c r="E802" s="9"/>
    </row>
    <row r="803">
      <c r="A803" s="8"/>
      <c r="B803" s="8"/>
      <c r="C803" s="8"/>
      <c r="D803" s="8"/>
      <c r="E803" s="9"/>
    </row>
    <row r="804">
      <c r="A804" s="8"/>
      <c r="B804" s="8"/>
      <c r="C804" s="8"/>
      <c r="D804" s="8"/>
      <c r="E804" s="9"/>
    </row>
    <row r="805">
      <c r="A805" s="8"/>
      <c r="B805" s="8"/>
      <c r="C805" s="8"/>
      <c r="D805" s="8"/>
      <c r="E805" s="9"/>
    </row>
    <row r="806">
      <c r="A806" s="8"/>
      <c r="B806" s="8"/>
      <c r="C806" s="8"/>
      <c r="D806" s="8"/>
      <c r="E806" s="9"/>
    </row>
    <row r="807">
      <c r="A807" s="8"/>
      <c r="B807" s="8"/>
      <c r="C807" s="8"/>
      <c r="D807" s="8"/>
      <c r="E807" s="9"/>
    </row>
    <row r="808">
      <c r="A808" s="8"/>
      <c r="B808" s="8"/>
      <c r="C808" s="8"/>
      <c r="D808" s="8"/>
      <c r="E808" s="9"/>
    </row>
    <row r="809">
      <c r="A809" s="8"/>
      <c r="B809" s="8"/>
      <c r="C809" s="8"/>
      <c r="D809" s="8"/>
      <c r="E809" s="9"/>
    </row>
    <row r="810">
      <c r="A810" s="8"/>
      <c r="B810" s="8"/>
      <c r="C810" s="8"/>
      <c r="D810" s="8"/>
      <c r="E810" s="9"/>
    </row>
    <row r="811">
      <c r="A811" s="8"/>
      <c r="B811" s="8"/>
      <c r="C811" s="8"/>
      <c r="D811" s="8"/>
      <c r="E811" s="9"/>
    </row>
    <row r="812">
      <c r="A812" s="8"/>
      <c r="B812" s="8"/>
      <c r="C812" s="8"/>
      <c r="D812" s="8"/>
      <c r="E812" s="9"/>
    </row>
    <row r="813">
      <c r="A813" s="8"/>
      <c r="B813" s="8"/>
      <c r="C813" s="8"/>
      <c r="D813" s="8"/>
      <c r="E813" s="9"/>
    </row>
    <row r="814">
      <c r="A814" s="8"/>
      <c r="B814" s="8"/>
      <c r="C814" s="8"/>
      <c r="D814" s="8"/>
      <c r="E814" s="9"/>
    </row>
    <row r="815">
      <c r="A815" s="8"/>
      <c r="B815" s="8"/>
      <c r="C815" s="8"/>
      <c r="D815" s="8"/>
      <c r="E815" s="9"/>
    </row>
    <row r="816">
      <c r="A816" s="8"/>
      <c r="B816" s="8"/>
      <c r="C816" s="8"/>
      <c r="D816" s="8"/>
      <c r="E816" s="9"/>
    </row>
    <row r="817">
      <c r="A817" s="8"/>
      <c r="B817" s="8"/>
      <c r="C817" s="8"/>
      <c r="D817" s="8"/>
      <c r="E817" s="9"/>
    </row>
    <row r="818">
      <c r="A818" s="8"/>
      <c r="B818" s="8"/>
      <c r="C818" s="8"/>
      <c r="D818" s="8"/>
      <c r="E818" s="9"/>
    </row>
    <row r="819">
      <c r="A819" s="8"/>
      <c r="B819" s="8"/>
      <c r="C819" s="8"/>
      <c r="D819" s="8"/>
      <c r="E819" s="9"/>
    </row>
    <row r="820">
      <c r="A820" s="8"/>
      <c r="B820" s="8"/>
      <c r="C820" s="8"/>
      <c r="D820" s="8"/>
      <c r="E820" s="9"/>
    </row>
    <row r="821">
      <c r="A821" s="8"/>
      <c r="B821" s="8"/>
      <c r="C821" s="8"/>
      <c r="D821" s="8"/>
      <c r="E821" s="9"/>
    </row>
    <row r="822">
      <c r="A822" s="8"/>
      <c r="B822" s="8"/>
      <c r="C822" s="8"/>
      <c r="D822" s="8"/>
      <c r="E822" s="9"/>
    </row>
    <row r="823">
      <c r="A823" s="8"/>
      <c r="B823" s="8"/>
      <c r="C823" s="8"/>
      <c r="D823" s="8"/>
      <c r="E823" s="9"/>
    </row>
    <row r="824">
      <c r="A824" s="8"/>
      <c r="B824" s="8"/>
      <c r="C824" s="8"/>
      <c r="D824" s="8"/>
      <c r="E824" s="9"/>
    </row>
    <row r="825">
      <c r="A825" s="8"/>
      <c r="B825" s="8"/>
      <c r="C825" s="8"/>
      <c r="D825" s="8"/>
      <c r="E825" s="9"/>
    </row>
    <row r="826">
      <c r="A826" s="8"/>
      <c r="B826" s="8"/>
      <c r="C826" s="8"/>
      <c r="D826" s="8"/>
      <c r="E826" s="9"/>
    </row>
    <row r="827">
      <c r="A827" s="8"/>
      <c r="B827" s="8"/>
      <c r="C827" s="8"/>
      <c r="D827" s="8"/>
      <c r="E827" s="9"/>
    </row>
    <row r="828">
      <c r="A828" s="8"/>
      <c r="B828" s="8"/>
      <c r="C828" s="8"/>
      <c r="D828" s="8"/>
      <c r="E828" s="9"/>
    </row>
    <row r="829">
      <c r="A829" s="8"/>
      <c r="B829" s="8"/>
      <c r="C829" s="8"/>
      <c r="D829" s="8"/>
      <c r="E829" s="9"/>
    </row>
    <row r="830">
      <c r="A830" s="8"/>
      <c r="B830" s="8"/>
      <c r="C830" s="8"/>
      <c r="D830" s="8"/>
      <c r="E830" s="9"/>
    </row>
    <row r="831">
      <c r="A831" s="8"/>
      <c r="B831" s="8"/>
      <c r="C831" s="8"/>
      <c r="D831" s="8"/>
      <c r="E831" s="9"/>
    </row>
    <row r="832">
      <c r="A832" s="8"/>
      <c r="B832" s="8"/>
      <c r="C832" s="8"/>
      <c r="D832" s="8"/>
      <c r="E832" s="9"/>
    </row>
    <row r="833">
      <c r="A833" s="8"/>
      <c r="B833" s="8"/>
      <c r="C833" s="8"/>
      <c r="D833" s="8"/>
      <c r="E833" s="9"/>
    </row>
    <row r="834">
      <c r="A834" s="8"/>
      <c r="B834" s="8"/>
      <c r="C834" s="8"/>
      <c r="D834" s="8"/>
      <c r="E834" s="9"/>
    </row>
    <row r="835">
      <c r="A835" s="8"/>
      <c r="B835" s="8"/>
      <c r="C835" s="8"/>
      <c r="D835" s="8"/>
      <c r="E835" s="9"/>
    </row>
    <row r="836">
      <c r="A836" s="8"/>
      <c r="B836" s="8"/>
      <c r="C836" s="8"/>
      <c r="D836" s="8"/>
      <c r="E836" s="9"/>
    </row>
    <row r="837">
      <c r="A837" s="8"/>
      <c r="B837" s="8"/>
      <c r="C837" s="8"/>
      <c r="D837" s="8"/>
      <c r="E837" s="9"/>
    </row>
    <row r="838">
      <c r="A838" s="8"/>
      <c r="B838" s="8"/>
      <c r="C838" s="8"/>
      <c r="D838" s="8"/>
      <c r="E838" s="9"/>
    </row>
    <row r="839">
      <c r="A839" s="8"/>
      <c r="B839" s="8"/>
      <c r="C839" s="8"/>
      <c r="D839" s="8"/>
      <c r="E839" s="9"/>
    </row>
    <row r="840">
      <c r="A840" s="8"/>
      <c r="B840" s="8"/>
      <c r="C840" s="8"/>
      <c r="D840" s="8"/>
      <c r="E840" s="9"/>
    </row>
    <row r="841">
      <c r="A841" s="8"/>
      <c r="B841" s="8"/>
      <c r="C841" s="8"/>
      <c r="D841" s="8"/>
      <c r="E841" s="9"/>
    </row>
    <row r="842">
      <c r="A842" s="8"/>
      <c r="B842" s="8"/>
      <c r="C842" s="8"/>
      <c r="D842" s="8"/>
      <c r="E842" s="9"/>
    </row>
    <row r="843">
      <c r="A843" s="8"/>
      <c r="B843" s="8"/>
      <c r="C843" s="8"/>
      <c r="D843" s="8"/>
      <c r="E843" s="9"/>
    </row>
    <row r="844">
      <c r="A844" s="8"/>
      <c r="B844" s="8"/>
      <c r="C844" s="8"/>
      <c r="D844" s="8"/>
      <c r="E844" s="9"/>
    </row>
    <row r="845">
      <c r="A845" s="8"/>
      <c r="B845" s="8"/>
      <c r="C845" s="8"/>
      <c r="D845" s="8"/>
      <c r="E845" s="9"/>
    </row>
    <row r="846">
      <c r="A846" s="8"/>
      <c r="B846" s="8"/>
      <c r="C846" s="8"/>
      <c r="D846" s="8"/>
      <c r="E846" s="9"/>
    </row>
    <row r="847">
      <c r="A847" s="8"/>
      <c r="B847" s="8"/>
      <c r="C847" s="8"/>
      <c r="D847" s="8"/>
      <c r="E847" s="9"/>
    </row>
    <row r="848">
      <c r="A848" s="8"/>
      <c r="B848" s="8"/>
      <c r="C848" s="8"/>
      <c r="D848" s="8"/>
      <c r="E848" s="9"/>
    </row>
    <row r="849">
      <c r="A849" s="8"/>
      <c r="B849" s="8"/>
      <c r="C849" s="8"/>
      <c r="D849" s="8"/>
      <c r="E849" s="9"/>
    </row>
    <row r="850">
      <c r="A850" s="8"/>
      <c r="B850" s="8"/>
      <c r="C850" s="8"/>
      <c r="D850" s="8"/>
      <c r="E850" s="9"/>
    </row>
    <row r="851">
      <c r="A851" s="8"/>
      <c r="B851" s="8"/>
      <c r="C851" s="8"/>
      <c r="D851" s="8"/>
      <c r="E851" s="9"/>
    </row>
    <row r="852">
      <c r="A852" s="8"/>
      <c r="B852" s="8"/>
      <c r="C852" s="8"/>
      <c r="D852" s="8"/>
      <c r="E852" s="9"/>
    </row>
    <row r="853">
      <c r="A853" s="8"/>
      <c r="B853" s="8"/>
      <c r="C853" s="8"/>
      <c r="D853" s="8"/>
      <c r="E853" s="9"/>
    </row>
    <row r="854">
      <c r="A854" s="8"/>
      <c r="B854" s="8"/>
      <c r="C854" s="8"/>
      <c r="D854" s="8"/>
      <c r="E854" s="9"/>
    </row>
    <row r="855">
      <c r="A855" s="8"/>
      <c r="B855" s="8"/>
      <c r="C855" s="8"/>
      <c r="D855" s="8"/>
      <c r="E855" s="9"/>
    </row>
    <row r="856">
      <c r="A856" s="8"/>
      <c r="B856" s="8"/>
      <c r="C856" s="8"/>
      <c r="D856" s="8"/>
      <c r="E856" s="9"/>
    </row>
    <row r="857">
      <c r="A857" s="8"/>
      <c r="B857" s="8"/>
      <c r="C857" s="8"/>
      <c r="D857" s="8"/>
      <c r="E857" s="9"/>
    </row>
    <row r="858">
      <c r="A858" s="8"/>
      <c r="B858" s="8"/>
      <c r="C858" s="8"/>
      <c r="D858" s="8"/>
      <c r="E858" s="9"/>
    </row>
    <row r="859">
      <c r="A859" s="8"/>
      <c r="B859" s="8"/>
      <c r="C859" s="8"/>
      <c r="D859" s="8"/>
      <c r="E859" s="9"/>
    </row>
    <row r="860">
      <c r="A860" s="8"/>
      <c r="B860" s="8"/>
      <c r="C860" s="8"/>
      <c r="D860" s="8"/>
      <c r="E860" s="9"/>
    </row>
    <row r="861">
      <c r="A861" s="8"/>
      <c r="B861" s="8"/>
      <c r="C861" s="8"/>
      <c r="D861" s="8"/>
      <c r="E861" s="9"/>
    </row>
    <row r="862">
      <c r="A862" s="8"/>
      <c r="B862" s="8"/>
      <c r="C862" s="8"/>
      <c r="D862" s="8"/>
      <c r="E862" s="9"/>
    </row>
    <row r="863">
      <c r="A863" s="8"/>
      <c r="B863" s="8"/>
      <c r="C863" s="8"/>
      <c r="D863" s="8"/>
      <c r="E863" s="9"/>
    </row>
    <row r="864">
      <c r="A864" s="8"/>
      <c r="B864" s="8"/>
      <c r="C864" s="8"/>
      <c r="D864" s="8"/>
      <c r="E864" s="9"/>
    </row>
    <row r="865">
      <c r="A865" s="8"/>
      <c r="B865" s="8"/>
      <c r="C865" s="8"/>
      <c r="D865" s="8"/>
      <c r="E865" s="9"/>
    </row>
    <row r="866">
      <c r="A866" s="8"/>
      <c r="B866" s="8"/>
      <c r="C866" s="8"/>
      <c r="D866" s="8"/>
      <c r="E866" s="9"/>
    </row>
    <row r="867">
      <c r="A867" s="8"/>
      <c r="B867" s="8"/>
      <c r="C867" s="8"/>
      <c r="D867" s="8"/>
      <c r="E867" s="9"/>
    </row>
    <row r="868">
      <c r="A868" s="8"/>
      <c r="B868" s="8"/>
      <c r="C868" s="8"/>
      <c r="D868" s="8"/>
      <c r="E868" s="9"/>
    </row>
    <row r="869">
      <c r="A869" s="8"/>
      <c r="B869" s="8"/>
      <c r="C869" s="8"/>
      <c r="D869" s="8"/>
      <c r="E869" s="9"/>
    </row>
    <row r="870">
      <c r="A870" s="8"/>
      <c r="B870" s="8"/>
      <c r="C870" s="8"/>
      <c r="D870" s="8"/>
      <c r="E870" s="9"/>
    </row>
    <row r="871">
      <c r="A871" s="8"/>
      <c r="B871" s="8"/>
      <c r="C871" s="8"/>
      <c r="D871" s="8"/>
      <c r="E871" s="9"/>
    </row>
    <row r="872">
      <c r="A872" s="8"/>
      <c r="B872" s="8"/>
      <c r="C872" s="8"/>
      <c r="D872" s="8"/>
      <c r="E872" s="9"/>
    </row>
    <row r="873">
      <c r="A873" s="8"/>
      <c r="B873" s="8"/>
      <c r="C873" s="8"/>
      <c r="D873" s="8"/>
      <c r="E873" s="9"/>
    </row>
    <row r="874">
      <c r="A874" s="8"/>
      <c r="B874" s="8"/>
      <c r="C874" s="8"/>
      <c r="D874" s="8"/>
      <c r="E874" s="9"/>
    </row>
    <row r="875">
      <c r="A875" s="8"/>
      <c r="B875" s="8"/>
      <c r="C875" s="8"/>
      <c r="D875" s="8"/>
      <c r="E875" s="9"/>
    </row>
    <row r="876">
      <c r="A876" s="8"/>
      <c r="B876" s="8"/>
      <c r="C876" s="8"/>
      <c r="D876" s="8"/>
      <c r="E876" s="9"/>
    </row>
    <row r="877">
      <c r="A877" s="8"/>
      <c r="B877" s="8"/>
      <c r="C877" s="8"/>
      <c r="D877" s="8"/>
      <c r="E877" s="9"/>
    </row>
    <row r="878">
      <c r="A878" s="8"/>
      <c r="B878" s="8"/>
      <c r="C878" s="8"/>
      <c r="D878" s="8"/>
      <c r="E878" s="9"/>
    </row>
    <row r="879">
      <c r="A879" s="8"/>
      <c r="B879" s="8"/>
      <c r="C879" s="8"/>
      <c r="D879" s="8"/>
      <c r="E879" s="9"/>
    </row>
    <row r="880">
      <c r="A880" s="8"/>
      <c r="B880" s="8"/>
      <c r="C880" s="8"/>
      <c r="D880" s="8"/>
      <c r="E880" s="9"/>
    </row>
    <row r="881">
      <c r="A881" s="8"/>
      <c r="B881" s="8"/>
      <c r="C881" s="8"/>
      <c r="D881" s="8"/>
      <c r="E881" s="9"/>
    </row>
    <row r="882">
      <c r="A882" s="8"/>
      <c r="B882" s="8"/>
      <c r="C882" s="8"/>
      <c r="D882" s="8"/>
      <c r="E882" s="9"/>
    </row>
    <row r="883">
      <c r="A883" s="8"/>
      <c r="B883" s="8"/>
      <c r="C883" s="8"/>
      <c r="D883" s="8"/>
      <c r="E883" s="9"/>
    </row>
    <row r="884">
      <c r="A884" s="8"/>
      <c r="B884" s="8"/>
      <c r="C884" s="8"/>
      <c r="D884" s="8"/>
      <c r="E884" s="9"/>
    </row>
    <row r="885">
      <c r="A885" s="8"/>
      <c r="B885" s="8"/>
      <c r="C885" s="8"/>
      <c r="D885" s="8"/>
      <c r="E885" s="9"/>
    </row>
    <row r="886">
      <c r="A886" s="8"/>
      <c r="B886" s="8"/>
      <c r="C886" s="8"/>
      <c r="D886" s="8"/>
      <c r="E886" s="9"/>
    </row>
    <row r="887">
      <c r="A887" s="8"/>
      <c r="B887" s="8"/>
      <c r="C887" s="8"/>
      <c r="D887" s="8"/>
      <c r="E887" s="9"/>
    </row>
    <row r="888">
      <c r="A888" s="8"/>
      <c r="B888" s="8"/>
      <c r="C888" s="8"/>
      <c r="D888" s="8"/>
      <c r="E888" s="9"/>
    </row>
    <row r="889">
      <c r="A889" s="8"/>
      <c r="B889" s="8"/>
      <c r="C889" s="8"/>
      <c r="D889" s="8"/>
      <c r="E889" s="9"/>
    </row>
    <row r="890">
      <c r="A890" s="8"/>
      <c r="B890" s="8"/>
      <c r="C890" s="8"/>
      <c r="D890" s="8"/>
      <c r="E890" s="9"/>
    </row>
    <row r="891">
      <c r="A891" s="8"/>
      <c r="B891" s="8"/>
      <c r="C891" s="8"/>
      <c r="D891" s="8"/>
      <c r="E891" s="9"/>
    </row>
    <row r="892">
      <c r="A892" s="8"/>
      <c r="B892" s="8"/>
      <c r="C892" s="8"/>
      <c r="D892" s="8"/>
      <c r="E892" s="9"/>
    </row>
    <row r="893">
      <c r="A893" s="8"/>
      <c r="B893" s="8"/>
      <c r="C893" s="8"/>
      <c r="D893" s="8"/>
      <c r="E893" s="9"/>
    </row>
    <row r="894">
      <c r="A894" s="8"/>
      <c r="B894" s="8"/>
      <c r="C894" s="8"/>
      <c r="D894" s="8"/>
      <c r="E894" s="9"/>
    </row>
    <row r="895">
      <c r="A895" s="8"/>
      <c r="B895" s="8"/>
      <c r="C895" s="8"/>
      <c r="D895" s="8"/>
      <c r="E895" s="9"/>
    </row>
    <row r="896">
      <c r="A896" s="8"/>
      <c r="B896" s="8"/>
      <c r="C896" s="8"/>
      <c r="D896" s="8"/>
      <c r="E896" s="9"/>
    </row>
    <row r="897">
      <c r="A897" s="8"/>
      <c r="B897" s="8"/>
      <c r="C897" s="8"/>
      <c r="D897" s="8"/>
      <c r="E897" s="9"/>
    </row>
    <row r="898">
      <c r="A898" s="8"/>
      <c r="B898" s="8"/>
      <c r="C898" s="8"/>
      <c r="D898" s="8"/>
      <c r="E898" s="9"/>
    </row>
    <row r="899">
      <c r="A899" s="8"/>
      <c r="B899" s="8"/>
      <c r="C899" s="8"/>
      <c r="D899" s="8"/>
      <c r="E899" s="9"/>
    </row>
    <row r="900">
      <c r="A900" s="8"/>
      <c r="B900" s="8"/>
      <c r="C900" s="8"/>
      <c r="D900" s="8"/>
      <c r="E900" s="9"/>
    </row>
    <row r="901">
      <c r="A901" s="8"/>
      <c r="B901" s="8"/>
      <c r="C901" s="8"/>
      <c r="D901" s="8"/>
      <c r="E901" s="9"/>
    </row>
    <row r="902">
      <c r="A902" s="8"/>
      <c r="B902" s="8"/>
      <c r="C902" s="8"/>
      <c r="D902" s="8"/>
      <c r="E902" s="9"/>
    </row>
    <row r="903">
      <c r="A903" s="8"/>
      <c r="B903" s="8"/>
      <c r="C903" s="8"/>
      <c r="D903" s="8"/>
      <c r="E903" s="9"/>
    </row>
    <row r="904">
      <c r="A904" s="8"/>
      <c r="B904" s="8"/>
      <c r="C904" s="8"/>
      <c r="D904" s="8"/>
      <c r="E904" s="9"/>
    </row>
    <row r="905">
      <c r="A905" s="8"/>
      <c r="B905" s="8"/>
      <c r="C905" s="8"/>
      <c r="D905" s="8"/>
      <c r="E905" s="9"/>
    </row>
    <row r="906">
      <c r="A906" s="8"/>
      <c r="B906" s="8"/>
      <c r="C906" s="8"/>
      <c r="D906" s="8"/>
      <c r="E906" s="9"/>
    </row>
    <row r="907">
      <c r="A907" s="8"/>
      <c r="B907" s="8"/>
      <c r="C907" s="8"/>
      <c r="D907" s="8"/>
      <c r="E907" s="9"/>
    </row>
    <row r="908">
      <c r="A908" s="8"/>
      <c r="B908" s="8"/>
      <c r="C908" s="8"/>
      <c r="D908" s="8"/>
      <c r="E908" s="9"/>
    </row>
    <row r="909">
      <c r="A909" s="8"/>
      <c r="B909" s="8"/>
      <c r="C909" s="8"/>
      <c r="D909" s="8"/>
      <c r="E909" s="9"/>
    </row>
    <row r="910">
      <c r="A910" s="8"/>
      <c r="B910" s="8"/>
      <c r="C910" s="8"/>
      <c r="D910" s="8"/>
      <c r="E910" s="9"/>
    </row>
    <row r="911">
      <c r="A911" s="8"/>
      <c r="B911" s="8"/>
      <c r="C911" s="8"/>
      <c r="D911" s="8"/>
      <c r="E911" s="9"/>
    </row>
    <row r="912">
      <c r="A912" s="8"/>
      <c r="B912" s="8"/>
      <c r="C912" s="8"/>
      <c r="D912" s="8"/>
      <c r="E912" s="9"/>
    </row>
    <row r="913">
      <c r="A913" s="8"/>
      <c r="B913" s="8"/>
      <c r="C913" s="8"/>
      <c r="D913" s="8"/>
      <c r="E913" s="9"/>
    </row>
    <row r="914">
      <c r="A914" s="8"/>
      <c r="B914" s="8"/>
      <c r="C914" s="8"/>
      <c r="D914" s="8"/>
      <c r="E914" s="9"/>
    </row>
    <row r="915">
      <c r="A915" s="8"/>
      <c r="B915" s="8"/>
      <c r="C915" s="8"/>
      <c r="D915" s="8"/>
      <c r="E915" s="9"/>
    </row>
    <row r="916">
      <c r="A916" s="8"/>
      <c r="B916" s="8"/>
      <c r="C916" s="8"/>
      <c r="D916" s="8"/>
      <c r="E916" s="9"/>
    </row>
    <row r="917">
      <c r="A917" s="8"/>
      <c r="B917" s="8"/>
      <c r="C917" s="8"/>
      <c r="D917" s="8"/>
      <c r="E917" s="9"/>
    </row>
    <row r="918">
      <c r="A918" s="8"/>
      <c r="B918" s="8"/>
      <c r="C918" s="8"/>
      <c r="D918" s="8"/>
      <c r="E918" s="9"/>
    </row>
    <row r="919">
      <c r="A919" s="8"/>
      <c r="B919" s="8"/>
      <c r="C919" s="8"/>
      <c r="D919" s="8"/>
      <c r="E919" s="9"/>
    </row>
    <row r="920">
      <c r="A920" s="8"/>
      <c r="B920" s="8"/>
      <c r="C920" s="8"/>
      <c r="D920" s="8"/>
      <c r="E920" s="9"/>
    </row>
    <row r="921">
      <c r="A921" s="8"/>
      <c r="B921" s="8"/>
      <c r="C921" s="8"/>
      <c r="D921" s="8"/>
      <c r="E921" s="9"/>
    </row>
    <row r="922">
      <c r="A922" s="8"/>
      <c r="B922" s="8"/>
      <c r="C922" s="8"/>
      <c r="D922" s="8"/>
      <c r="E922" s="9"/>
    </row>
    <row r="923">
      <c r="A923" s="8"/>
      <c r="B923" s="8"/>
      <c r="C923" s="8"/>
      <c r="D923" s="8"/>
      <c r="E923" s="9"/>
    </row>
    <row r="924">
      <c r="A924" s="8"/>
      <c r="B924" s="8"/>
      <c r="C924" s="8"/>
      <c r="D924" s="8"/>
      <c r="E924" s="9"/>
    </row>
    <row r="925">
      <c r="A925" s="8"/>
      <c r="B925" s="8"/>
      <c r="C925" s="8"/>
      <c r="D925" s="8"/>
      <c r="E925" s="9"/>
    </row>
    <row r="926">
      <c r="A926" s="8"/>
      <c r="B926" s="8"/>
      <c r="C926" s="8"/>
      <c r="D926" s="8"/>
      <c r="E926" s="9"/>
    </row>
    <row r="927">
      <c r="A927" s="8"/>
      <c r="B927" s="8"/>
      <c r="C927" s="8"/>
      <c r="D927" s="8"/>
      <c r="E927" s="9"/>
    </row>
    <row r="928">
      <c r="A928" s="8"/>
      <c r="B928" s="8"/>
      <c r="C928" s="8"/>
      <c r="D928" s="8"/>
      <c r="E928" s="9"/>
    </row>
    <row r="929">
      <c r="A929" s="8"/>
      <c r="B929" s="8"/>
      <c r="C929" s="8"/>
      <c r="D929" s="8"/>
      <c r="E929" s="9"/>
    </row>
    <row r="930">
      <c r="A930" s="8"/>
      <c r="B930" s="8"/>
      <c r="C930" s="8"/>
      <c r="D930" s="8"/>
      <c r="E930" s="9"/>
    </row>
    <row r="931">
      <c r="A931" s="8"/>
      <c r="B931" s="8"/>
      <c r="C931" s="8"/>
      <c r="D931" s="8"/>
      <c r="E931" s="9"/>
    </row>
    <row r="932">
      <c r="A932" s="8"/>
      <c r="B932" s="8"/>
      <c r="C932" s="8"/>
      <c r="D932" s="8"/>
      <c r="E932" s="9"/>
    </row>
    <row r="933">
      <c r="A933" s="8"/>
      <c r="B933" s="8"/>
      <c r="C933" s="8"/>
      <c r="D933" s="8"/>
      <c r="E933" s="9"/>
    </row>
    <row r="934">
      <c r="A934" s="8"/>
      <c r="B934" s="8"/>
      <c r="C934" s="8"/>
      <c r="D934" s="8"/>
      <c r="E934" s="9"/>
    </row>
    <row r="935">
      <c r="A935" s="8"/>
      <c r="B935" s="8"/>
      <c r="C935" s="8"/>
      <c r="D935" s="8"/>
      <c r="E935" s="9"/>
    </row>
    <row r="936">
      <c r="A936" s="8"/>
      <c r="B936" s="8"/>
      <c r="C936" s="8"/>
      <c r="D936" s="8"/>
      <c r="E936" s="9"/>
    </row>
    <row r="937">
      <c r="A937" s="8"/>
      <c r="B937" s="8"/>
      <c r="C937" s="8"/>
      <c r="D937" s="8"/>
      <c r="E937" s="9"/>
    </row>
    <row r="938">
      <c r="A938" s="8"/>
      <c r="B938" s="8"/>
      <c r="C938" s="8"/>
      <c r="D938" s="8"/>
      <c r="E938" s="9"/>
    </row>
    <row r="939">
      <c r="A939" s="8"/>
      <c r="B939" s="8"/>
      <c r="C939" s="8"/>
      <c r="D939" s="8"/>
      <c r="E939" s="9"/>
    </row>
    <row r="940">
      <c r="A940" s="8"/>
      <c r="B940" s="8"/>
      <c r="C940" s="8"/>
      <c r="D940" s="8"/>
      <c r="E940" s="9"/>
    </row>
    <row r="941">
      <c r="A941" s="8"/>
      <c r="B941" s="8"/>
      <c r="C941" s="8"/>
      <c r="D941" s="8"/>
      <c r="E941" s="9"/>
    </row>
    <row r="942">
      <c r="A942" s="8"/>
      <c r="B942" s="8"/>
      <c r="C942" s="8"/>
      <c r="D942" s="8"/>
      <c r="E942" s="9"/>
    </row>
    <row r="943">
      <c r="A943" s="8"/>
      <c r="B943" s="8"/>
      <c r="C943" s="8"/>
      <c r="D943" s="8"/>
      <c r="E943" s="9"/>
    </row>
    <row r="944">
      <c r="A944" s="8"/>
      <c r="B944" s="8"/>
      <c r="C944" s="8"/>
      <c r="D944" s="8"/>
      <c r="E944" s="9"/>
    </row>
    <row r="945">
      <c r="A945" s="8"/>
      <c r="B945" s="8"/>
      <c r="C945" s="8"/>
      <c r="D945" s="8"/>
      <c r="E945" s="9"/>
    </row>
    <row r="946">
      <c r="A946" s="8"/>
      <c r="B946" s="8"/>
      <c r="C946" s="8"/>
      <c r="D946" s="8"/>
      <c r="E946" s="9"/>
    </row>
    <row r="947">
      <c r="A947" s="8"/>
      <c r="B947" s="8"/>
      <c r="C947" s="8"/>
      <c r="D947" s="8"/>
      <c r="E947" s="9"/>
    </row>
    <row r="948">
      <c r="A948" s="8"/>
      <c r="B948" s="8"/>
      <c r="C948" s="8"/>
      <c r="D948" s="8"/>
      <c r="E948" s="9"/>
    </row>
    <row r="949">
      <c r="A949" s="8"/>
      <c r="B949" s="8"/>
      <c r="C949" s="8"/>
      <c r="D949" s="8"/>
      <c r="E949" s="9"/>
    </row>
    <row r="950">
      <c r="A950" s="8"/>
      <c r="B950" s="8"/>
      <c r="C950" s="8"/>
      <c r="D950" s="8"/>
      <c r="E950" s="9"/>
    </row>
    <row r="951">
      <c r="A951" s="8"/>
      <c r="B951" s="8"/>
      <c r="C951" s="8"/>
      <c r="D951" s="8"/>
      <c r="E951" s="9"/>
    </row>
    <row r="952">
      <c r="A952" s="8"/>
      <c r="B952" s="8"/>
      <c r="C952" s="8"/>
      <c r="D952" s="8"/>
      <c r="E952" s="9"/>
    </row>
    <row r="953">
      <c r="A953" s="8"/>
      <c r="B953" s="8"/>
      <c r="C953" s="8"/>
      <c r="D953" s="8"/>
      <c r="E953" s="9"/>
    </row>
    <row r="954">
      <c r="A954" s="8"/>
      <c r="B954" s="8"/>
      <c r="C954" s="8"/>
      <c r="D954" s="8"/>
      <c r="E954" s="9"/>
    </row>
    <row r="955">
      <c r="A955" s="8"/>
      <c r="B955" s="8"/>
      <c r="C955" s="8"/>
      <c r="D955" s="8"/>
      <c r="E955" s="9"/>
    </row>
    <row r="956">
      <c r="A956" s="8"/>
      <c r="B956" s="8"/>
      <c r="C956" s="8"/>
      <c r="D956" s="8"/>
      <c r="E956" s="9"/>
    </row>
    <row r="957">
      <c r="A957" s="8"/>
      <c r="B957" s="8"/>
      <c r="C957" s="8"/>
      <c r="D957" s="8"/>
      <c r="E957" s="9"/>
    </row>
    <row r="958">
      <c r="A958" s="8"/>
      <c r="B958" s="8"/>
      <c r="C958" s="8"/>
      <c r="D958" s="8"/>
      <c r="E958" s="9"/>
    </row>
    <row r="959">
      <c r="A959" s="8"/>
      <c r="B959" s="8"/>
      <c r="C959" s="8"/>
      <c r="D959" s="8"/>
      <c r="E959" s="9"/>
    </row>
    <row r="960">
      <c r="A960" s="8"/>
      <c r="B960" s="8"/>
      <c r="C960" s="8"/>
      <c r="D960" s="8"/>
      <c r="E960" s="9"/>
    </row>
    <row r="961">
      <c r="A961" s="8"/>
      <c r="B961" s="8"/>
      <c r="C961" s="8"/>
      <c r="D961" s="8"/>
      <c r="E961" s="9"/>
    </row>
    <row r="962">
      <c r="A962" s="8"/>
      <c r="B962" s="8"/>
      <c r="C962" s="8"/>
      <c r="D962" s="8"/>
      <c r="E962" s="9"/>
    </row>
    <row r="963">
      <c r="A963" s="8"/>
      <c r="B963" s="8"/>
      <c r="C963" s="8"/>
      <c r="D963" s="8"/>
      <c r="E963" s="9"/>
    </row>
    <row r="964">
      <c r="A964" s="8"/>
      <c r="B964" s="8"/>
      <c r="C964" s="8"/>
      <c r="D964" s="8"/>
      <c r="E964" s="9"/>
    </row>
    <row r="965">
      <c r="A965" s="8"/>
      <c r="B965" s="8"/>
      <c r="C965" s="8"/>
      <c r="D965" s="8"/>
      <c r="E965" s="9"/>
    </row>
    <row r="966">
      <c r="A966" s="8"/>
      <c r="B966" s="8"/>
      <c r="C966" s="8"/>
      <c r="D966" s="8"/>
      <c r="E966" s="9"/>
    </row>
    <row r="967">
      <c r="A967" s="8"/>
      <c r="B967" s="8"/>
      <c r="C967" s="8"/>
      <c r="D967" s="8"/>
      <c r="E967" s="9"/>
    </row>
    <row r="968">
      <c r="A968" s="8"/>
      <c r="B968" s="8"/>
      <c r="C968" s="8"/>
      <c r="D968" s="8"/>
      <c r="E968" s="9"/>
    </row>
    <row r="969">
      <c r="A969" s="8"/>
      <c r="B969" s="8"/>
      <c r="C969" s="8"/>
      <c r="D969" s="8"/>
      <c r="E969" s="9"/>
    </row>
    <row r="970">
      <c r="A970" s="8"/>
      <c r="B970" s="8"/>
      <c r="C970" s="8"/>
      <c r="D970" s="8"/>
      <c r="E970" s="9"/>
    </row>
    <row r="971">
      <c r="A971" s="8"/>
      <c r="B971" s="8"/>
      <c r="C971" s="8"/>
      <c r="D971" s="8"/>
      <c r="E971" s="9"/>
    </row>
    <row r="972">
      <c r="A972" s="8"/>
      <c r="B972" s="8"/>
      <c r="C972" s="8"/>
      <c r="D972" s="8"/>
      <c r="E972" s="9"/>
    </row>
    <row r="973">
      <c r="A973" s="8"/>
      <c r="B973" s="8"/>
      <c r="C973" s="8"/>
      <c r="D973" s="8"/>
      <c r="E973" s="9"/>
    </row>
    <row r="974">
      <c r="A974" s="8"/>
      <c r="B974" s="8"/>
      <c r="C974" s="8"/>
      <c r="D974" s="8"/>
      <c r="E974" s="9"/>
    </row>
    <row r="975">
      <c r="A975" s="8"/>
      <c r="B975" s="8"/>
      <c r="C975" s="8"/>
      <c r="D975" s="8"/>
      <c r="E975" s="9"/>
    </row>
    <row r="976">
      <c r="A976" s="8"/>
      <c r="B976" s="8"/>
      <c r="C976" s="8"/>
      <c r="D976" s="8"/>
      <c r="E976" s="9"/>
    </row>
    <row r="977">
      <c r="A977" s="8"/>
      <c r="B977" s="8"/>
      <c r="C977" s="8"/>
      <c r="D977" s="8"/>
      <c r="E977" s="9"/>
    </row>
    <row r="978">
      <c r="A978" s="8"/>
      <c r="B978" s="8"/>
      <c r="C978" s="8"/>
      <c r="D978" s="8"/>
      <c r="E978" s="9"/>
    </row>
    <row r="979">
      <c r="A979" s="8"/>
      <c r="B979" s="8"/>
      <c r="C979" s="8"/>
      <c r="D979" s="8"/>
      <c r="E979" s="9"/>
    </row>
    <row r="980">
      <c r="A980" s="8"/>
      <c r="B980" s="8"/>
      <c r="C980" s="8"/>
      <c r="D980" s="8"/>
      <c r="E980" s="9"/>
    </row>
    <row r="981">
      <c r="A981" s="8"/>
      <c r="B981" s="8"/>
      <c r="C981" s="8"/>
      <c r="D981" s="8"/>
      <c r="E981" s="9"/>
    </row>
    <row r="982">
      <c r="A982" s="8"/>
      <c r="B982" s="8"/>
      <c r="C982" s="8"/>
      <c r="D982" s="8"/>
      <c r="E982" s="9"/>
    </row>
    <row r="983">
      <c r="A983" s="8"/>
      <c r="B983" s="8"/>
      <c r="C983" s="8"/>
      <c r="D983" s="8"/>
      <c r="E983" s="9"/>
    </row>
    <row r="984">
      <c r="A984" s="8"/>
      <c r="B984" s="8"/>
      <c r="C984" s="8"/>
      <c r="D984" s="8"/>
      <c r="E984" s="9"/>
    </row>
    <row r="985">
      <c r="A985" s="8"/>
      <c r="B985" s="8"/>
      <c r="C985" s="8"/>
      <c r="D985" s="8"/>
      <c r="E985" s="9"/>
    </row>
    <row r="986">
      <c r="A986" s="8"/>
      <c r="B986" s="8"/>
      <c r="C986" s="8"/>
      <c r="D986" s="8"/>
      <c r="E986" s="9"/>
    </row>
    <row r="987">
      <c r="A987" s="8"/>
      <c r="B987" s="8"/>
      <c r="C987" s="8"/>
      <c r="D987" s="8"/>
      <c r="E987" s="9"/>
    </row>
    <row r="988">
      <c r="A988" s="8"/>
      <c r="B988" s="8"/>
      <c r="C988" s="8"/>
      <c r="D988" s="8"/>
      <c r="E988" s="9"/>
    </row>
    <row r="989">
      <c r="A989" s="8"/>
      <c r="B989" s="8"/>
      <c r="C989" s="8"/>
      <c r="D989" s="8"/>
      <c r="E989" s="9"/>
    </row>
    <row r="990">
      <c r="A990" s="8"/>
      <c r="B990" s="8"/>
      <c r="C990" s="8"/>
      <c r="D990" s="8"/>
      <c r="E990" s="9"/>
    </row>
    <row r="991">
      <c r="A991" s="8"/>
      <c r="B991" s="8"/>
      <c r="C991" s="8"/>
      <c r="D991" s="8"/>
      <c r="E991" s="9"/>
    </row>
    <row r="992">
      <c r="A992" s="8"/>
      <c r="B992" s="8"/>
      <c r="C992" s="8"/>
      <c r="D992" s="8"/>
      <c r="E992" s="9"/>
    </row>
    <row r="993">
      <c r="A993" s="8"/>
      <c r="B993" s="8"/>
      <c r="C993" s="8"/>
      <c r="D993" s="8"/>
      <c r="E993" s="9"/>
    </row>
    <row r="994">
      <c r="A994" s="8"/>
      <c r="B994" s="8"/>
      <c r="C994" s="8"/>
      <c r="D994" s="8"/>
      <c r="E994" s="9"/>
    </row>
    <row r="995">
      <c r="A995" s="8"/>
      <c r="B995" s="8"/>
      <c r="C995" s="8"/>
      <c r="D995" s="8"/>
      <c r="E995" s="9"/>
    </row>
    <row r="996">
      <c r="A996" s="8"/>
      <c r="B996" s="8"/>
      <c r="C996" s="8"/>
      <c r="D996" s="8"/>
      <c r="E996" s="9"/>
    </row>
    <row r="997">
      <c r="A997" s="8"/>
      <c r="B997" s="8"/>
      <c r="C997" s="8"/>
      <c r="D997" s="8"/>
      <c r="E997" s="9"/>
    </row>
    <row r="998">
      <c r="A998" s="8"/>
      <c r="B998" s="8"/>
      <c r="C998" s="8"/>
      <c r="D998" s="8"/>
      <c r="E998" s="9"/>
    </row>
    <row r="999">
      <c r="A999" s="8"/>
      <c r="B999" s="8"/>
      <c r="C999" s="8"/>
      <c r="D999" s="8"/>
      <c r="E999" s="9"/>
    </row>
    <row r="1000">
      <c r="A1000" s="8"/>
      <c r="B1000" s="8"/>
      <c r="C1000" s="8"/>
      <c r="D1000" s="8"/>
      <c r="E1000" s="9"/>
    </row>
  </sheetData>
  <mergeCells count="5">
    <mergeCell ref="H4:N5"/>
    <mergeCell ref="G7:G9"/>
    <mergeCell ref="I7:K9"/>
    <mergeCell ref="M7:O9"/>
    <mergeCell ref="L29:Q29"/>
  </mergeCells>
  <drawing r:id="rId3"/>
</worksheet>
</file>